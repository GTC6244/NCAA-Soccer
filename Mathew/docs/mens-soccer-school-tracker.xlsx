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s" sheetId="1" state="visible" r:id="rId3"/>
    <sheet name="Ruled Out" sheetId="2" state="visible" r:id="rId4"/>
    <sheet name="Legend &amp; Summary" sheetId="3" state="visible" r:id="rId5"/>
  </sheets>
  <definedNames>
    <definedName function="false" hidden="true" localSheetId="0" name="_xlnm._FilterDatabase" vbProcedure="false">Schools!$A$1:$AA$29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<sst xmlns="http://schemas.openxmlformats.org/spreadsheetml/2006/main" count="699" uniqueCount="448">
  <si>
    <t xml:space="preserve">Tier</t>
  </si>
  <si>
    <t xml:space="preserve">School</t>
  </si>
  <si>
    <t xml:space="preserve">Country</t>
  </si>
  <si>
    <t xml:space="preserve">State/Prov</t>
  </si>
  <si>
    <t xml:space="preserve">City</t>
  </si>
  <si>
    <t xml:space="preserve">Governing Body</t>
  </si>
  <si>
    <t xml:space="preserve">Division</t>
  </si>
  <si>
    <t xml:space="preserve">Conference (M Soccer)</t>
  </si>
  <si>
    <t xml:space="preserve">Enrollment (approx.)</t>
  </si>
  <si>
    <t xml:space="preserve">Head Coach</t>
  </si>
  <si>
    <t xml:space="preserve">Head Coach Email</t>
  </si>
  <si>
    <t xml:space="preserve">Contact 2</t>
  </si>
  <si>
    <t xml:space="preserve">Contact 2 Email</t>
  </si>
  <si>
    <t xml:space="preserve">Contact 3</t>
  </si>
  <si>
    <t xml:space="preserve">Contact 3 Email</t>
  </si>
  <si>
    <t xml:space="preserve">Best First Contact</t>
  </si>
  <si>
    <t xml:space="preserve">Questionnaire / Recruit Form</t>
  </si>
  <si>
    <t xml:space="preserve">Priority</t>
  </si>
  <si>
    <t xml:space="preserve">Status</t>
  </si>
  <si>
    <t xml:space="preserve">Date Contacted</t>
  </si>
  <si>
    <t xml:space="preserve">Response</t>
  </si>
  <si>
    <t xml:space="preserve">Notes</t>
  </si>
  <si>
    <t xml:space="preserve">Profiled?</t>
  </si>
  <si>
    <t xml:space="preserve">2026 Form / Rank</t>
  </si>
  <si>
    <t xml:space="preserve">Drive to CAN border</t>
  </si>
  <si>
    <t xml:space="preserve">Student-Faculty</t>
  </si>
  <si>
    <t xml:space="preserve">Standout academic</t>
  </si>
  <si>
    <t xml:space="preserve">Core 12</t>
  </si>
  <si>
    <t xml:space="preserve">SMU</t>
  </si>
  <si>
    <t xml:space="preserve">USA</t>
  </si>
  <si>
    <t xml:space="preserve">TX</t>
  </si>
  <si>
    <t xml:space="preserve">Dallas</t>
  </si>
  <si>
    <t xml:space="preserve">NCAA</t>
  </si>
  <si>
    <t xml:space="preserve">D1</t>
  </si>
  <si>
    <t xml:space="preserve">ACC</t>
  </si>
  <si>
    <t xml:space="preserve">Kevin Hudson</t>
  </si>
  <si>
    <t xml:space="preserve">khudson@smu.edu</t>
  </si>
  <si>
    <t xml:space="preserve">Michael King (Assoc HC, Recruiting Coord)</t>
  </si>
  <si>
    <t xml:space="preserve">mjking@smu.edu</t>
  </si>
  <si>
    <t xml:space="preserve">Jaime Ibarra-Perez (Assoc HC, GK)</t>
  </si>
  <si>
    <t xml:space="preserve">jibarraperez@smu.edu</t>
  </si>
  <si>
    <t xml:space="preserve">Michael King</t>
  </si>
  <si>
    <t xml:space="preserve">None posted - email direct</t>
  </si>
  <si>
    <t xml:space="preserve">Not started</t>
  </si>
  <si>
    <t xml:space="preserve">Top-10 nationally. Also Ross Fitzpatrick rossf@smu.edu. Phone 214-768-4601.</t>
  </si>
  <si>
    <t xml:space="preserve">Yes</t>
  </si>
  <si>
    <t xml:space="preserve">5-0-1, No. 7. Defending ACC champions (first title, 2025).</t>
  </si>
  <si>
    <t xml:space="preserve">~1,450 mi / ~21-22 hr - fly only</t>
  </si>
  <si>
    <t xml:space="preserve">11:1 (avg class 22)</t>
  </si>
  <si>
    <t xml:space="preserve">Cox #25 undergrad business. CS NOT a restricted major.</t>
  </si>
  <si>
    <t xml:space="preserve">UCF</t>
  </si>
  <si>
    <t xml:space="preserve">FL</t>
  </si>
  <si>
    <t xml:space="preserve">Orlando</t>
  </si>
  <si>
    <t xml:space="preserve">Sun Belt (school is Big 12)</t>
  </si>
  <si>
    <t xml:space="preserve">Scott Calabrese</t>
  </si>
  <si>
    <t xml:space="preserve">soccer@athletics.ucf.edu</t>
  </si>
  <si>
    <t xml:space="preserve">Austin Nyquist (Asst, Recruiting Coord)</t>
  </si>
  <si>
    <t xml:space="preserve">anyquist@athletics.ucf.edu</t>
  </si>
  <si>
    <t xml:space="preserve">Paul Souders (Assoc HC)</t>
  </si>
  <si>
    <t xml:space="preserve">Austin Nyquist</t>
  </si>
  <si>
    <t xml:space="preserve">'Recruit Questionnaire' in nav at ucfknights.com/sports/mens-soccer</t>
  </si>
  <si>
    <t xml:space="preserve">2025 Sun Belt tournament champions. Nyquist is the only direct address.</t>
  </si>
  <si>
    <t xml:space="preserve">Reigning Sun Belt tournament champions. 2025: 11-7-3.</t>
  </si>
  <si>
    <t xml:space="preserve">~1,400 mi / ~20-21 hr - fly only</t>
  </si>
  <si>
    <t xml:space="preserve">28:1 (28% classes &lt;20)</t>
  </si>
  <si>
    <t xml:space="preserve">#15 Most Innovative. Cheapest out-of-state on list ($24,076).</t>
  </si>
  <si>
    <t xml:space="preserve">USF</t>
  </si>
  <si>
    <t xml:space="preserve">Tampa</t>
  </si>
  <si>
    <t xml:space="preserve">American</t>
  </si>
  <si>
    <t xml:space="preserve">George Kiefer</t>
  </si>
  <si>
    <t xml:space="preserve">gkiefer@usf.edu</t>
  </si>
  <si>
    <t xml:space="preserve">Daniel De Oliveira (Assoc HC)</t>
  </si>
  <si>
    <t xml:space="preserve">msoccer@usf.edu</t>
  </si>
  <si>
    <t xml:space="preserve">Kendall Kiefer (Dir of Ops)</t>
  </si>
  <si>
    <t xml:space="preserve">kendallkiefer@usf.edu</t>
  </si>
  <si>
    <t xml:space="preserve">http://college.jumpforward.com/questionnaire.aspx?iid=1625&amp;sportid=21</t>
  </si>
  <si>
    <t xml:space="preserve">New HC Dec 2025 - Kiefer returning for 2nd tenure (previously 2002-2016).</t>
  </si>
  <si>
    <t xml:space="preserve">1-3 start. Full rebuild - 22 newcomers, 6 returners.</t>
  </si>
  <si>
    <t xml:space="preserve">~1,500 mi / ~22 hr - fly only</t>
  </si>
  <si>
    <t xml:space="preserve">21:1</t>
  </si>
  <si>
    <t xml:space="preserve">Muma + Pippenger both AACSB (1 of 194 worldwide). 31 MLS draft picks.</t>
  </si>
  <si>
    <t xml:space="preserve">South Carolina</t>
  </si>
  <si>
    <t xml:space="preserve">SC</t>
  </si>
  <si>
    <t xml:space="preserve">Columbia</t>
  </si>
  <si>
    <t xml:space="preserve">Sun Belt (school is SEC)</t>
  </si>
  <si>
    <t xml:space="preserve">Tony Annan</t>
  </si>
  <si>
    <t xml:space="preserve">not published</t>
  </si>
  <si>
    <t xml:space="preserve">Questionnaire</t>
  </si>
  <si>
    <t xml:space="preserve">https://gamecocksonline.com/news/2018/06/21/ot-recruiting-questionnaires-html/</t>
  </si>
  <si>
    <t xml:space="preserve">RANKED No. 6 NATIONALLY, 5-0 (Sept 2026) - earlier 'mid-major' label was wrong. No coach emails published. The 2009 contact page listing Mark Berson is obsolete - do not use. Leads nation in attendance 4 straight years; record 7,671 vs Clemson Aug 2026.</t>
  </si>
  <si>
    <t xml:space="preserve">5-0, RANKED No. 6 NATIONALLY. Unbeaten.</t>
  </si>
  <si>
    <t xml:space="preserve">~900 mi / ~14 hr</t>
  </si>
  <si>
    <t xml:space="preserve">19:1</t>
  </si>
  <si>
    <t xml:space="preserve">Darla Moore intl business #1 in US for 27 straight years.</t>
  </si>
  <si>
    <t xml:space="preserve">Ohio State</t>
  </si>
  <si>
    <t xml:space="preserve">OH</t>
  </si>
  <si>
    <t xml:space="preserve">Columbus</t>
  </si>
  <si>
    <t xml:space="preserve">Big Ten</t>
  </si>
  <si>
    <t xml:space="preserve">Brian Maisonneuve</t>
  </si>
  <si>
    <t xml:space="preserve">maisonneuve.2@osu.edu</t>
  </si>
  <si>
    <t xml:space="preserve">Matt Foldesy (Assoc HC)</t>
  </si>
  <si>
    <t xml:space="preserve">foldesy.1@osu.edu</t>
  </si>
  <si>
    <t xml:space="preserve">Travis Morris (Assoc HC)</t>
  </si>
  <si>
    <t xml:space="preserve">Morris.1925@osu.edu</t>
  </si>
  <si>
    <t xml:space="preserve">https://ohiostatebuckeyes.com/feature/recruiting</t>
  </si>
  <si>
    <t xml:space="preserve">2024 College Cup. Also Corey Brueggeman Brueggeman.11@osu.edu. CS is a restricted major.</t>
  </si>
  <si>
    <t xml:space="preserve">3-0, No. 4. Outscoring opponents 9-0. 2024 College Cup.</t>
  </si>
  <si>
    <t xml:space="preserve">~190 mi / ~3-3.5 hr - BEST on list</t>
  </si>
  <si>
    <t xml:space="preserve">14:1 (best large public here)</t>
  </si>
  <si>
    <t xml:space="preserve">#41 national, #15 public. CS #38 but RESTRICTED major.</t>
  </si>
  <si>
    <t xml:space="preserve">Penn State</t>
  </si>
  <si>
    <t xml:space="preserve">PA</t>
  </si>
  <si>
    <t xml:space="preserve">University Park</t>
  </si>
  <si>
    <t xml:space="preserve">Rob Dow</t>
  </si>
  <si>
    <t xml:space="preserve">Brad Cole (Assoc HC)</t>
  </si>
  <si>
    <t xml:space="preserve">msoc@athletics.psu.edu</t>
  </si>
  <si>
    <t xml:space="preserve">Davis Faulkner (Dir of Ops)</t>
  </si>
  <si>
    <t xml:space="preserve">dkf5401@psu.edu</t>
  </si>
  <si>
    <t xml:space="preserve">https://gopsusports.com/prospective-athlete-forms</t>
  </si>
  <si>
    <t xml:space="preserve">HC Rob Dow is CANADIAN (Cole Harbour, NS). Won 2024 national title at Vermont; 9th-best win pct among active D1 coaches. Highest-upside rebuild on the Core 12. Coaches route through msoc@athletics.psu.edu; only Dir of Ops has a direct email.</t>
  </si>
  <si>
    <t xml:space="preserve">1-1 early. Finished LAST in Big Ten two years running. Year 1 of rebuild.</t>
  </si>
  <si>
    <t xml:space="preserve">~250 mi / ~4.5 hr to Buffalo - 2nd best on list</t>
  </si>
  <si>
    <t xml:space="preserve">15-16:1 (89% full-time faculty vs 47% natl)</t>
  </si>
  <si>
    <t xml:space="preserve">#59 national, #26 public. Smeal supply chain. CS inside Engineering = RESTRICTED.</t>
  </si>
  <si>
    <t xml:space="preserve">Boston University</t>
  </si>
  <si>
    <t xml:space="preserve">MA</t>
  </si>
  <si>
    <t xml:space="preserve">Boston</t>
  </si>
  <si>
    <t xml:space="preserve">Patriot League</t>
  </si>
  <si>
    <t xml:space="preserve">Kevin Nylen</t>
  </si>
  <si>
    <t xml:space="preserve">knylen@bu.edu</t>
  </si>
  <si>
    <t xml:space="preserve">Patrick Lopez (Assoc HC)</t>
  </si>
  <si>
    <t xml:space="preserve">patlopez@bu.edu</t>
  </si>
  <si>
    <t xml:space="preserve">Joe Blasetti (Asst)</t>
  </si>
  <si>
    <t xml:space="preserve">jblase@bu.edu</t>
  </si>
  <si>
    <t xml:space="preserve">https://questionnaires.armssoftware.com/3585708e2ece</t>
  </si>
  <si>
    <t xml:space="preserve">All 4 coaches publish direct emails - most reachable staff on the list. Nickerson Field (9,871, opened 1915) is ON campus. 2023: first-ever Patriot League double. Admit rate ~11%. Tuition $71,372 - most expensive on Core 12.</t>
  </si>
  <si>
    <t xml:space="preserve">~3-2-0, picked 2nd in Patriot League. PL semifinalists 4 straight years.</t>
  </si>
  <si>
    <t xml:space="preserve">~300 mi / ~5 hr to Derby Line VT</t>
  </si>
  <si>
    <t xml:space="preserve">10:1 - BEST on Core 12 (60% classes &lt;20)</t>
  </si>
  <si>
    <t xml:space="preserve">#42 national. Questrom business. Logan airport = best air link.</t>
  </si>
  <si>
    <t xml:space="preserve">Northeastern</t>
  </si>
  <si>
    <t xml:space="preserve">CAA</t>
  </si>
  <si>
    <t xml:space="preserve">Jeremy Bonomo</t>
  </si>
  <si>
    <t xml:space="preserve">Jordan Koduah (Asst)</t>
  </si>
  <si>
    <t xml:space="preserve">John Manga (Asst)</t>
  </si>
  <si>
    <t xml:space="preserve">https://nuhuskies.com/sports/2012/8/16/GEN_0816125026.aspx</t>
  </si>
  <si>
    <t xml:space="preserve">ADMIT RATE 5.2% - most selective school on either list. ~105,000 applications; most applied-to private university in the US. Co-op program is the proposition: 91.7% employed within 3 months. HAS TORONTO AND VANCOUVER CAMPUSES. No coach emails published - questionnaire is the only channel. Parsons Field is 2 miles off-campus in Brookline.</t>
  </si>
  <si>
    <t xml:space="preserve">~3-2-2, 0-1-1 CAA. WEAKEST program on Core 12 by record (285-387-87 all-time).</t>
  </si>
  <si>
    <t xml:space="preserve">16:1</t>
  </si>
  <si>
    <t xml:space="preserve">#46 national, #5 Most Innovative. D'Amore-McKim #20 undergrad business. Khoury CS.</t>
  </si>
  <si>
    <t xml:space="preserve">UC Santa Barbara</t>
  </si>
  <si>
    <t xml:space="preserve">CA</t>
  </si>
  <si>
    <t xml:space="preserve">Goleta</t>
  </si>
  <si>
    <t xml:space="preserve">Big West</t>
  </si>
  <si>
    <t xml:space="preserve">Tim Vom Steeg</t>
  </si>
  <si>
    <t xml:space="preserve">menssoccer@athletics.ucsb.edu</t>
  </si>
  <si>
    <t xml:space="preserve">Greg Wilson (Assoc HC)</t>
  </si>
  <si>
    <t xml:space="preserve">Matias Fernandez (GK)</t>
  </si>
  <si>
    <t xml:space="preserve">Shared inbox</t>
  </si>
  <si>
    <t xml:space="preserve">https://ucsbmenssoccer.exposure.co/</t>
  </si>
  <si>
    <t xml:space="preserve">NO UNDERGRAD BUSINESS MAJOR - confirmed. Hard disqualifier if business is required. LEAVING BIG WEST FOR WEST COAST CONFERENCE after 2026-27 - affects any 2027+ recruit. QUARTER SYSTEM not semesters. UC is TEST-BLIND. Out-of-state admit rate (~51.5%) HIGHER than in-state (32%). Non-resident cost ~$80,000. Harder Stadium 17,000 - largest venue on either list. NCAA attendance champions 9 straight years 2007-2015; record 15,896 vs UCLA. 60+ players turned pro.</t>
  </si>
  <si>
    <t xml:space="preserve">2006 NATIONAL CHAMPIONS, 2004 runner-up. Vom Steeg in 25th season.</t>
  </si>
  <si>
    <t xml:space="preserve">~1,200 mi / ~18-19 hr - longest flight on Core 12</t>
  </si>
  <si>
    <t xml:space="preserve">17:1 (56.5% classes &lt;20); 85% 4-yr grad - best so far</t>
  </si>
  <si>
    <t xml:space="preserve">#40 national, #14 public. Physics world-class (Kavli, 6 Nobel laureates). CS #35.</t>
  </si>
  <si>
    <t xml:space="preserve">NJIT</t>
  </si>
  <si>
    <t xml:space="preserve">NJ</t>
  </si>
  <si>
    <t xml:space="preserve">Newark</t>
  </si>
  <si>
    <t xml:space="preserve">America East</t>
  </si>
  <si>
    <t xml:space="preserve">Fernando Barboto</t>
  </si>
  <si>
    <t xml:space="preserve">barboto@njit.edu</t>
  </si>
  <si>
    <t xml:space="preserve">John Velasco (Asst)</t>
  </si>
  <si>
    <t xml:space="preserve">john.velasco@njit.edu</t>
  </si>
  <si>
    <t xml:space="preserve">Sean Furtek (Asst)</t>
  </si>
  <si>
    <t xml:space="preserve">smf48@njit.edu</t>
  </si>
  <si>
    <t xml:space="preserve">https://njithighlanders.com/sports/2008/8/28/compliance_rules_prospective_SA</t>
  </si>
  <si>
    <t xml:space="preserve">Best ROI on the Core 12. Newark Liberty airport 10-15 min = BEST air access here; Manhattan 20-30 min by PATH. 48-acre campus, smallest on list. Admit 65% but hard to graduate. CS is a RESTRICTED major. Narrow by design - engineering/computing only. Wrong school if interests shift to humanities.</t>
  </si>
  <si>
    <t xml:space="preserve">17-match slate, 10 HOME games. America East.</t>
  </si>
  <si>
    <t xml:space="preserve">~400 mi / ~7 hr to Buffalo</t>
  </si>
  <si>
    <t xml:space="preserve">16:1; 4-yr grad only 51%</t>
  </si>
  <si>
    <t xml:space="preserve">#80 national, #34 social mobility. MEDIAN SALARY $69,591 - HIGHEST on Core 12.</t>
  </si>
  <si>
    <t xml:space="preserve">UMass Lowell</t>
  </si>
  <si>
    <t xml:space="preserve">Lowell</t>
  </si>
  <si>
    <t xml:space="preserve">Kyle Zenoni</t>
  </si>
  <si>
    <t xml:space="preserve">Kyle_Zenoni@uml.edu</t>
  </si>
  <si>
    <t xml:space="preserve">Jason Stanton (Asst)</t>
  </si>
  <si>
    <t xml:space="preserve">Jason_Stanton@uml.edu</t>
  </si>
  <si>
    <t xml:space="preserve">Diego Campos (Asst)</t>
  </si>
  <si>
    <t xml:space="preserve">Diego_Campos@uml.edu</t>
  </si>
  <si>
    <t xml:space="preserve">https://goriverhawks.com/sports/2014/7/25/general_0725144713</t>
  </si>
  <si>
    <t xml:space="preserve">All 3 coaches publish direct emails AND phones. Easiest Core 12 school for both roster spot and admission. Avg net price only $18,281 - sticker price misleads. Plastics engineering program nearly unique in US. Lowell is 30 min north of Boston, far cheaper housing than the two city schools.</t>
  </si>
  <si>
    <t xml:space="preserve">Lower half of America East. Most modest program on Core 12.</t>
  </si>
  <si>
    <t xml:space="preserve">~200-230 mi / ~3.5-4 hr - 3rd best on Core 12</t>
  </si>
  <si>
    <t xml:space="preserve">17:1; 4-yr grad 44%</t>
  </si>
  <si>
    <t xml:space="preserve">#151 national. ADMIT RATE 83% - most accessible on Core 12. Median salary $61,467.</t>
  </si>
  <si>
    <t xml:space="preserve">IU Indianapolis</t>
  </si>
  <si>
    <t xml:space="preserve">IN</t>
  </si>
  <si>
    <t xml:space="preserve">Indianapolis</t>
  </si>
  <si>
    <t xml:space="preserve">Horizon League</t>
  </si>
  <si>
    <t xml:space="preserve">Keegan Boom</t>
  </si>
  <si>
    <t xml:space="preserve">kboom@iu.edu</t>
  </si>
  <si>
    <t xml:space="preserve">Matthew Roop (Asst)</t>
  </si>
  <si>
    <t xml:space="preserve">roopm@iu.edu</t>
  </si>
  <si>
    <t xml:space="preserve">Quinn McCallion (Asst)</t>
  </si>
  <si>
    <t xml:space="preserve">qmccalli@iu.edu</t>
  </si>
  <si>
    <t xml:space="preserve">https://iuindyjags.com/documents/2023/4/10/Recruiting_Guide_Presentation.pdf</t>
  </si>
  <si>
    <t xml:space="preserve">DEFENSIVE TEAM - 3 of 4 goals came from penalties, only one from open play. Great fit for a defender or GK; forwards should ask how they create chances. All 3 coaches publish direct emails. IUPUI dissolved July 2024 and split - athletics went to IU Indy. Lowest median salary on Core 12 ($47,173). Largely commuter campus - ask where the team lives.</t>
  </si>
  <si>
    <t xml:space="preserve">3 straight 1-0 wins, 3 clean sheets. New HC June 2026.</t>
  </si>
  <si>
    <t xml:space="preserve">~350 mi / ~5-5.5 hr to Detroit-Windsor</t>
  </si>
  <si>
    <t xml:space="preserve">13:1 - 2nd best on Core 12; 4-yr grad only 39%</t>
  </si>
  <si>
    <t xml:space="preserve">#192 national. Kelley School of Business brand. CHEAPEST: net price $11,577.</t>
  </si>
  <si>
    <t xml:space="preserve">Extra</t>
  </si>
  <si>
    <t xml:space="preserve">FIU</t>
  </si>
  <si>
    <t xml:space="preserve">Miami</t>
  </si>
  <si>
    <t xml:space="preserve">American (affiliate; school is C-USA)</t>
  </si>
  <si>
    <t xml:space="preserve">Kyle Russell</t>
  </si>
  <si>
    <t xml:space="preserve">krussell@fiu.edu</t>
  </si>
  <si>
    <t xml:space="preserve">Dannie Merida (Assoc HC)</t>
  </si>
  <si>
    <t xml:space="preserve">dmerida@fiu.edu</t>
  </si>
  <si>
    <t xml:space="preserve">Matteo Gasperoni (Asst)</t>
  </si>
  <si>
    <t xml:space="preserve">mgaspero@fiu.edu</t>
  </si>
  <si>
    <t xml:space="preserve">https://college.jumpforward.com/questionnaire.aspx?iid=376&amp;sportid=21</t>
  </si>
  <si>
    <t xml:space="preserve">CONFERENCE CORRECTED: American, not Conference USA (C-USA men's soccer collapsed in 2022). OUT-OF-STATE TUITION $18,964 - CHEAPEST OF ANY SCHOOL IN THIS RESEARCH by a wide margin (next is NC State at $33,993). Verify international rates separately. Won 2 NCAA Division II national titles (1982, 1984); D1 runner-up 1996. All 3 full-time coaches publish direct emails + JumpForward questionnaire. Heavily commuter (~18,000 part-time). Miami International airport 15-20 min with direct Toronto service.</t>
  </si>
  <si>
    <t xml:space="preserve">2nd straight American Conference Championship appearance, 3rd in 4 years.</t>
  </si>
  <si>
    <t xml:space="preserve">~1,500 mi / ~23 hr - LONGEST on either list</t>
  </si>
  <si>
    <t xml:space="preserve">22-24:1; 6-yr grad 74%</t>
  </si>
  <si>
    <t xml:space="preserve">#97 national, #1 IN THE US FOR SOCIAL MOBILITY. CS #106, Engineering #97.</t>
  </si>
  <si>
    <t xml:space="preserve">Georgia State</t>
  </si>
  <si>
    <t xml:space="preserve">GA</t>
  </si>
  <si>
    <t xml:space="preserve">Atlanta</t>
  </si>
  <si>
    <t xml:space="preserve">Sun Belt</t>
  </si>
  <si>
    <t xml:space="preserve">Brett Surrency</t>
  </si>
  <si>
    <t xml:space="preserve">bsurrency@gsu.edu</t>
  </si>
  <si>
    <t xml:space="preserve">Daniel Mohsen (Assoc HC)</t>
  </si>
  <si>
    <t xml:space="preserve">dmohsen@gsu.edu</t>
  </si>
  <si>
    <t xml:space="preserve">Luke Oesterle (Asst)</t>
  </si>
  <si>
    <t xml:space="preserve">loesterle1@gsu.edu</t>
  </si>
  <si>
    <t xml:space="preserve">All 3 coaches publish direct emails; office 404-413-4002. Coaching stability is the selling point - 17 years. NOT TEST-OPTIONAL: requires SAT/ACT for Fall 2026 (min 480 EBRW / 440 Math, or ACT 17/17), min HS GPA 2.75, Freshman Index 2500. LOWEST median salary of any school profiled ($37,844). Primarily a COMMUTER campus - confirm dorm life expectations. Soccer complex is in Decatur, ~15 min off the downtown campus. Atlanta airport = best air link on either list.</t>
  </si>
  <si>
    <t xml:space="preserve">Surrency 17th season - longest tenure among extras. 6th in Sun Belt last year.</t>
  </si>
  <si>
    <t xml:space="preserve">~900 mi / ~13-14 hr - fly (Atlanta airport)</t>
  </si>
  <si>
    <t xml:space="preserve">25:1 - highest here; 4-yr grad only 33%</t>
  </si>
  <si>
    <t xml:space="preserve">#198 national BUT #5 in US for Best Undergraduate Teaching. Robinson = largest B-school in the South.</t>
  </si>
  <si>
    <t xml:space="preserve">Kennesaw State</t>
  </si>
  <si>
    <t xml:space="preserve">Kennesaw</t>
  </si>
  <si>
    <t xml:space="preserve">Conference USA</t>
  </si>
  <si>
    <t xml:space="preserve">unknown - call athletics dept</t>
  </si>
  <si>
    <t xml:space="preserve">not researched</t>
  </si>
  <si>
    <t xml:space="preserve">Phone ksuowls.com directly</t>
  </si>
  <si>
    <t xml:space="preserve">PROGRAM EXISTS - earlier doubt resolved. But zero public soccer info: no coach name, record or conference found after repeated searches; football/basketball dominate all coverage. CALL THE ATHLETICS DEPARTMENT DIRECTLY. Out-of-state tuition $22,278 = 2nd cheapest in this research after FIU. 4-year graduation 24% is the worst figure anywhere here - ask the staff how athletes compare. Atlanta airport is 45-60 min away (vs 20 min for Georgia State).</t>
  </si>
  <si>
    <t xml:space="preserve">Partial</t>
  </si>
  <si>
    <t xml:space="preserve">PROGRAM CONFIRMED (ESPN carries a 2026 schedule) but no coach/record/conference found.</t>
  </si>
  <si>
    <t xml:space="preserve">~900 mi / ~13-14 hr to Detroit-Windsor</t>
  </si>
  <si>
    <t xml:space="preserve">23:1; 4-YR GRAD ONLY 24% - worst in this research</t>
  </si>
  <si>
    <t xml:space="preserve">#373 national - lowest on either list. Coles business #104 (20% of all students).</t>
  </si>
  <si>
    <t xml:space="preserve">NC State</t>
  </si>
  <si>
    <t xml:space="preserve">NC</t>
  </si>
  <si>
    <t xml:space="preserve">Raleigh</t>
  </si>
  <si>
    <t xml:space="preserve">Marc Hubbard</t>
  </si>
  <si>
    <t xml:space="preserve">mens_soccer@ncsu.edu</t>
  </si>
  <si>
    <t xml:space="preserve">Augusto Lima (Asst)</t>
  </si>
  <si>
    <t xml:space="preserve">Kaneile Thomas (Dir of Ops)</t>
  </si>
  <si>
    <t xml:space="preserve">https://gopack.com/sports/2015/4/27/GEN_20140101185</t>
  </si>
  <si>
    <t xml:space="preserve">STRONGEST PROGRAM IN THE REGION - reached the 2025 national final; supersedes the earlier 'Clemson is strongest' note. Hubbard took them from mid-table to the title game in 2 seasons. 2026 ACC finals AND College Cup both at Cary, 20 min from campus. 15 returners / 18 newcomers. RDU airport 20 min with direct Air Canada to Toronto. Adjacent to Research Triangle Park (SAS, Red Hat, IBM, Cisco, Lenovo). Poole is a separate competitive admission.</t>
  </si>
  <si>
    <t xml:space="preserve">2025 NATIONAL RUNNER-UP. Picked 1st in ACC preseason poll 2026.</t>
  </si>
  <si>
    <t xml:space="preserve">~700 mi / ~11 hr to Buffalo</t>
  </si>
  <si>
    <t xml:space="preserve">15:1; 4-yr grad 68%</t>
  </si>
  <si>
    <t xml:space="preserve">#64 national. Poole business analytics #9 among publics. Out-of-state only $33,993.</t>
  </si>
  <si>
    <t xml:space="preserve">UNC Chapel Hill</t>
  </si>
  <si>
    <t xml:space="preserve">Chapel Hill</t>
  </si>
  <si>
    <t xml:space="preserve">Carlos Somoano</t>
  </si>
  <si>
    <t xml:space="preserve">csomoano@uncaa.unc.edu</t>
  </si>
  <si>
    <t xml:space="preserve">Michael Callahan (Asst)</t>
  </si>
  <si>
    <t xml:space="preserve">mbcallah@unc.edu</t>
  </si>
  <si>
    <t xml:space="preserve">Marco Genee (Dir of Ops)</t>
  </si>
  <si>
    <t xml:space="preserve">mgenee@unc.edu</t>
  </si>
  <si>
    <t xml:space="preserve">None posted</t>
  </si>
  <si>
    <t xml:space="preserve">ADMISSIONS IS THE BARRIER: NC law caps non-resident enrolment at 18%; OUT-OF-STATE ACCEPTANCE ~8% (harder than Cornell). 97% of enrolled Class of 2028 had weighted GPA 4.0+. ASK ADMISSIONS how international students count against the 18% cap. Recruited-athlete admissions is a different process - ask the staff early how much support they can give an international recruit. All 5 coaches publish direct emails. Somoano won the 2011 title as a ROOKIE head coach (2nd ever) + the ACC treble; 36 MLS draft/homegrown players; signed a 3-year extension April 2026. Requires test scores through 2025-26 cycle.</t>
  </si>
  <si>
    <t xml:space="preserve">2x NATIONAL CHAMPIONS (2001, 2011). Only 2 losing seasons in 79 years.</t>
  </si>
  <si>
    <t xml:space="preserve">14:1; 97% retention, 92% 6-yr grad - BEST here</t>
  </si>
  <si>
    <t xml:space="preserve">#22 national, #4 public. Kenan-Flagler #8 undergrad business - highest on either list.</t>
  </si>
  <si>
    <t xml:space="preserve">UNC Charlotte</t>
  </si>
  <si>
    <t xml:space="preserve">Charlotte</t>
  </si>
  <si>
    <t xml:space="preserve">Kevin Langan</t>
  </si>
  <si>
    <t xml:space="preserve">Needs manual lookup</t>
  </si>
  <si>
    <t xml:space="preserve">STRONGEST VALUE COMBINATION IN THE RESEARCH: winning program + ~80% admission + $22,274 out-of-state + 10 hr to border + direct Toronto flights from CLT. Back-to-back American tournament titles 2023-24. 4 of 6 seniors signed pro contracts after 2025; Suber drafted 35th, Lacey 82nd MLS. ONLY BS IN SPORTS ANALYTICS IN THE SOUTHEAST + first School of Data Science in the Carolinas. Belk = largest business school in NC, top 25% nationally. Every student guaranteed internship access. GAP: site blocks bots - visit charlotte49ers.com manually for assistant coach emails.</t>
  </si>
  <si>
    <t xml:space="preserve">REIGNING American regular-season champs; PICKED 1ST for 2026. 2011 national runner-up.</t>
  </si>
  <si>
    <t xml:space="preserve">~650 mi / ~10 hr - shortest in the Carolinas/Georgia</t>
  </si>
  <si>
    <t xml:space="preserve">21:1, avg class ~35; 4-yr grad 50%</t>
  </si>
  <si>
    <t xml:space="preserve">#143 national, #38 Most Innovative, Carnegie R1. Out-of-state only $22,274.</t>
  </si>
  <si>
    <t xml:space="preserve">Florida Atlantic</t>
  </si>
  <si>
    <t xml:space="preserve">Boca Raton</t>
  </si>
  <si>
    <t xml:space="preserve">Joey Worthen (HC since Feb 2017)</t>
  </si>
  <si>
    <t xml:space="preserve">Lucas Champenois (Asst, hired Aug 2026)</t>
  </si>
  <si>
    <t xml:space="preserve">CHEAPEST OPTION IN THE RESEARCH on net price ($8,636); out-of-state tuition $21,655 (2nd after FIU). Program had ZERO NCAA appearances before 2025 - just arrived, no pedigree. Worthen built it over 9 seasons. New assistant Champenois developed 20+ pro players (Sporting KC 1st-rounder Afrifa); fluent French. ROSTER HAS CARRIED CANADIAN PLAYERS - good signal. Stadium only 1,000 capacity, smallest on either list. CAVEAT: engineering college gets mixed student reviews (course availability, advising) - probe directly. Fort Lauderdale + Palm Beach airports both ~25-30 min; FLL has heavy direct Toronto/Montreal traffic. COACH EMAILS STILL NEEDED.</t>
  </si>
  <si>
    <t xml:space="preserve">2025: FIRST NCAA APPEARANCE EVER + American tournament title. Now ~No. 19.</t>
  </si>
  <si>
    <t xml:space="preserve">~1,450 mi / ~22 hr - fly (2 airports nearby)</t>
  </si>
  <si>
    <t xml:space="preserve">24:1; 4-yr grad 50%</t>
  </si>
  <si>
    <t xml:space="preserve">#183 national, #30 social mobility. NET PRICE $8,636 - LOWEST IN THE RESEARCH.</t>
  </si>
  <si>
    <t xml:space="preserve">Clemson</t>
  </si>
  <si>
    <t xml:space="preserve">Mike Noonan</t>
  </si>
  <si>
    <t xml:space="preserve">Philip Jones (Assoc HC, 14th season)</t>
  </si>
  <si>
    <t xml:space="preserve">Camilo Rodriguez (11th season)</t>
  </si>
  <si>
    <t xml:space="preserve">BEST PRO PATHWAY IN THE RESEARCH: led ALL NCAA programs in 2025 with FOUR first-round MLS SuperDraft picks; 10th player to sign Generation adidas. Oldest program here (founded 1934). Noonan in 17th season, 2x National Coach of the Year. Staff continuity is extraordinary - Jones 14 seasons, Rodriguez 11. Riggs Field 6,500, 486 home wins. CATCH: out-of-state cost of attendance now EXCEEDS $60,000/yr - ~3x FAU, ~2x NC State. Only 34% get need-based aid. Weak air link is the other drawback. COACH EMAILS STILL NEEDED.</t>
  </si>
  <si>
    <t xml:space="preserve">4 NATIONAL TITLES (1984, 1987, 2021, 2023). ACC final in 5 of last 6 seasons.</t>
  </si>
  <si>
    <t xml:space="preserve">~800 mi / ~12-13 hr; WEAK airport (GSP regional, CLT/ATL 2 hr away)</t>
  </si>
  <si>
    <t xml:space="preserve">16:1; 86-87% 6-yr grad - 2nd best here</t>
  </si>
  <si>
    <t xml:space="preserve">#75 national. MEDIAN EARNINGS $75,142 AT 4 YEARS - highest in research. CS #83.</t>
  </si>
  <si>
    <t xml:space="preserve">Georgia Southern</t>
  </si>
  <si>
    <t xml:space="preserve">Statesboro</t>
  </si>
  <si>
    <t xml:space="preserve">Lee Squires</t>
  </si>
  <si>
    <t xml:space="preserve">gsumenssoccer@georgiasouthern.edu</t>
  </si>
  <si>
    <t xml:space="preserve">James Smith (Assoc HC)</t>
  </si>
  <si>
    <t xml:space="preserve">jamessmith@georgiasouthern.edu</t>
  </si>
  <si>
    <t xml:space="preserve">Clayton Zelin (Assoc HC)</t>
  </si>
  <si>
    <t xml:space="preserve">rzelin@georgiasouthern.edu</t>
  </si>
  <si>
    <t xml:space="preserve">https://questionnaires.armssoftware.com/350ec954fad8</t>
  </si>
  <si>
    <t xml:space="preserve">EASIEST ADMISSION IN THE RESEARCH (~88-90%) - easier than UMass Lowell's 83%. HC Lee Squires is ENGLISH (Sheffield); career record 142-67-31. All 4 coaches publish emails + ARMS questionnaire. Program had almost no history before 2025 (2 conference titles ever) - open question whether it is a step change or a spike. 94-95% OF STUDENTS COME FROM GEORGIA - a Canadian would be genuinely unusual here; weigh the culture fit. Hard 2026 schedule by design: at Clemson Oct 6, at Marshall Oct 9, closes vs JMU/West Virginia/UCF. Campus in Wexford, Ireland. First-years required to live on campus.</t>
  </si>
  <si>
    <t xml:space="preserve">2025 breakout: 13-4-1, ranked as high as 6th nationally. 2026 start ~2-1-1.</t>
  </si>
  <si>
    <t xml:space="preserve">~950 mi / ~15 hr; WEAK airport (Savannah regional, no Toronto)</t>
  </si>
  <si>
    <t xml:space="preserve">24-25:1; 4-yr grad only 36%</t>
  </si>
  <si>
    <t xml:space="preserve">#343 national BUT median earnings $62,342 at 4 yrs - beats NC State's 6-yr figure.</t>
  </si>
  <si>
    <t xml:space="preserve">Nova Southeastern</t>
  </si>
  <si>
    <t xml:space="preserve">Fort Lauderdale</t>
  </si>
  <si>
    <t xml:space="preserve">D2</t>
  </si>
  <si>
    <t xml:space="preserve">Sunshine State</t>
  </si>
  <si>
    <t xml:space="preserve">Matt McArthur (HC since Jan 2025)</t>
  </si>
  <si>
    <t xml:space="preserve">SIZE CORRECTION: undergrad enrolment is only 7,311 (same as SMU) - the ~21,000 figure is 2/3 grad/professional. Does NOT really meet the 18,000 criterion. HEAVILY INTERNATIONAL ROSTER (Scandinavian, Spanish, Japanese, British names) - best signal on the list that the staff recruits abroad. D2 scholarships are EQUIVALENCY (partial), stackable with academic/need aid. Tuition $40,200, net price $28,219 - more expensive than FAU/FIU/Charlotte/NC State while ranked below all of them. Student feedback says the institution prioritises the medical school and advises against enrolling for business. 28% male / 72% female undergrad. RANK LAST among extras unless marine science is of interest.</t>
  </si>
  <si>
    <t xml:space="preserve">2025: 8-4-3 (5-3-2 SSC). Picked 5th in 2026 SSC preseason poll.</t>
  </si>
  <si>
    <t xml:space="preserve">~1,450 mi / ~22 hr - fly (FLL 20 min, heavy Toronto traffic)</t>
  </si>
  <si>
    <t xml:space="preserve">16:1 - best among the extras; 4-yr grad 55%</t>
  </si>
  <si>
    <t xml:space="preserve">#257 national. Marine science/oceanography is the real strength. Weak for business.</t>
  </si>
  <si>
    <t xml:space="preserve">Keiser</t>
  </si>
  <si>
    <t xml:space="preserve">West Palm Beach</t>
  </si>
  <si>
    <t xml:space="preserve">NAIA</t>
  </si>
  <si>
    <t xml:space="preserve">Sun Conference</t>
  </si>
  <si>
    <t xml:space="preserve">Gavin Oldham (10th season)</t>
  </si>
  <si>
    <t xml:space="preserve">Joe Barber (Asst HC, new 2026)</t>
  </si>
  <si>
    <t xml:space="preserve">Leo Camacho (GK)</t>
  </si>
  <si>
    <t xml:space="preserve">SIZE CORRECTION: the flagship RESIDENTIAL campus has only ~1,500 students. The ~20,000 figure is the whole system (21 Florida campuses + online + China/Nicaragua). Does NOT meet the 18,000 criterion at all. SOCCER IS EXCELLENT: 16-1-2 in 2025, conference double, No. 16 final ranking, NAIA opening rounds 7 straight years; staff named NAIA South Staff of the Year. UNVERIFIED: my earlier '2021 NAIA national champions' note could not be confirmed - the FOOTBALL team won the 2023 NAIA title. NAIA ELIGIBILITY RULES ARE MORE FLEXIBLE THAN NCAA - useful fallback if the 2.3 core-GPA sliding scale is ever tight. Admission ~96-97% (effectively open). Cost ~$50,000 all-in.</t>
  </si>
  <si>
    <t xml:space="preserve">2025: 16-1-2, Sun Conference regular season AND tournament champions. Opened 2026 ranked No. 15.</t>
  </si>
  <si>
    <t xml:space="preserve">~1,400 mi / ~21 hr - fly (PBI 15 min, FLL 45 min)</t>
  </si>
  <si>
    <t xml:space="preserve">Flagship campus ~1,500 students; grad rate 55%</t>
  </si>
  <si>
    <t xml:space="preserve">Career college by origin. NO MATHS OR PHYSICS likely. Meets 1 of your 4 subject criteria.</t>
  </si>
  <si>
    <t xml:space="preserve">UNC Wilmington</t>
  </si>
  <si>
    <t xml:space="preserve">Wilmington</t>
  </si>
  <si>
    <t xml:space="preserve">Aidan Heaney (26th season)</t>
  </si>
  <si>
    <t xml:space="preserve">BEST EVIDENCE ON EITHER LIST THAT FRESHMEN PLAY: 2024 CAA final run built on 20 freshmen/sophomores - first-years scored the goals, a redshirt freshman GK kept a clean sheet in the semifinal, a redshirt soph saved 3 PKs in round one. Heaney has 26 years of stability, 208 wins, 4 NCAA appearances. COST FLAG: out-of-state is $25,420 BUT reported INTERNATIONAL undergrad tuition is ~$42,603 - a ~$17,000/yr gap. VERIFY DIRECTLY. All first-years must live on campus (~$8,000/yr); new hall opens 2026. Median salary 6 yrs out only $46,972. ASSISTANT COACH EMAILS STILL NEEDED.</t>
  </si>
  <si>
    <t xml:space="preserve">2024 CAA finalists with 20 freshmen/sophomores on the roster. Beat Georgia Southern 2-0 in 2026.</t>
  </si>
  <si>
    <t xml:space="preserve">~750 mi / ~12 hr; WEAK airport (ILM small; RDU 2 hr)</t>
  </si>
  <si>
    <t xml:space="preserve">17:1, avg class ~25; 4-yr grad 56%</t>
  </si>
  <si>
    <t xml:space="preserve">#198 national BUT #58 Best Undergraduate Teaching. Marine biology world-class; thin STEM otherwise.</t>
  </si>
  <si>
    <t xml:space="preserve">UNC Greensboro</t>
  </si>
  <si>
    <t xml:space="preserve">Greensboro</t>
  </si>
  <si>
    <t xml:space="preserve">SoCon</t>
  </si>
  <si>
    <t xml:space="preserve">Chris Rich (since July 2019)</t>
  </si>
  <si>
    <t xml:space="preserve">BIGGEST MISMATCH IN THE RESEARCH between soccer quality and list position - ranked last by size, but one of the 4-5 best programs here. FIVE national titles (D3: 1982, 83, 85, 86, 87). 13 D1 NCAA appearances. TWO FIRST-ROUND MLS PICKS IN THE 2026 DRAFT: Dovlo 12th to Atlanta United, Haruna 20th to Orlando City - rivals Clemson. Admission ~89-90% (tied with Georgia Southern as easiest). Net price $10,907 = 2nd lowest after FAU. COUNTERWEIGHTS: 39% four-year graduation; median salary $39,869 = 2nd lowest in the research. Bryan School holds dual AACSB accreditation in business AND economics - top 1% worldwide. ASSISTANT COACH EMAILS STILL NEEDED.</t>
  </si>
  <si>
    <t xml:space="preserve">2025 SWEET SIXTEEN - beat No. 2 Virginia on PKs. Peaked at No. 11 nationally.</t>
  </si>
  <si>
    <t xml:space="preserve">~700 mi / ~11 hr - among closest in the Carolinas</t>
  </si>
  <si>
    <t xml:space="preserve">17-18:1; 4-yr grad only 39%</t>
  </si>
  <si>
    <t xml:space="preserve">#198 national, #13 social mobility. Bryan School = top 1% worldwide (dual AACSB). Net price $10,907.</t>
  </si>
  <si>
    <t xml:space="preserve">Canada</t>
  </si>
  <si>
    <t xml:space="preserve">University of Toronto</t>
  </si>
  <si>
    <t xml:space="preserve">ON</t>
  </si>
  <si>
    <t xml:space="preserve">Toronto</t>
  </si>
  <si>
    <t xml:space="preserve">U SPORTS</t>
  </si>
  <si>
    <t xml:space="preserve">OUA East</t>
  </si>
  <si>
    <t xml:space="preserve">Ilya Orlov</t>
  </si>
  <si>
    <t xml:space="preserve">ilya.orlov@utoronto.ca</t>
  </si>
  <si>
    <t xml:space="preserve">Eric Nelson (Head of Scouting &amp; Recruiting)</t>
  </si>
  <si>
    <t xml:space="preserve">Nikola Stakic (Asst)</t>
  </si>
  <si>
    <t xml:space="preserve">Recruit form</t>
  </si>
  <si>
    <t xml:space="preserve">https://varsityblues.ca/sb_output.aspx?form=3</t>
  </si>
  <si>
    <t xml:space="preserve">OLDEST PROGRAM IN THE RESEARCH - founded 1879. 51 OUA titles (record), 1 national title (1988). 2025: men AND women both won OUA titles - only the 4th joint sweep in OUA history. Orlov has the most international coaching background here: FC Union Berlin, Fulham, Feyenoord, Korona Kielce, KuPS; also head coach of Alliance United FC in League1 Ontario - embedded in the local semi-pro ecosystem. 2026 REBUILD - nine starters gone; Orlov says he is most excited to work with younger players. Good minutes signal. KEY RISK: Program of Study system - CS and Rotman Commerce are LIMITED ENROLMENT and you apply AFTER first year on first-year marks. Ask what happens if grades dip during the season. Eric Nelson (Head of Scouting &amp; Recruiting) is the right contact but has no published email - use the recruit form.</t>
  </si>
  <si>
    <t xml:space="preserve">2025 OUA CHAMPIONS (51st, a conference record). 2026 rebuild: ~1-1-2, lost 9 starters.</t>
  </si>
  <si>
    <t xml:space="preserve">N/A - home matches need no travel at all</t>
  </si>
  <si>
    <t xml:space="preserve">~98,000 students; large first-year classes</t>
  </si>
  <si>
    <t xml:space="preserve">Canada's top-ranked university. Maths/physics world-class (Fields Institute); CS among the best.</t>
  </si>
  <si>
    <t xml:space="preserve">York University</t>
  </si>
  <si>
    <t xml:space="preserve">Carmine Isacco (Master Coach)</t>
  </si>
  <si>
    <t xml:space="preserve">cisacco@yorku.ca</t>
  </si>
  <si>
    <t xml:space="preserve">Luca Forno (Assoc Coach)</t>
  </si>
  <si>
    <t xml:space="preserve">msocac1@yorku.ca</t>
  </si>
  <si>
    <t xml:space="preserve">Fabio Campoli (Asst)</t>
  </si>
  <si>
    <t xml:space="preserve">Fabio.campoli92@gmail.com</t>
  </si>
  <si>
    <t xml:space="preserve">Carmine Isacco</t>
  </si>
  <si>
    <t xml:space="preserve">https://yorkulions.ca/sb_output.aspx?form=3</t>
  </si>
  <si>
    <t xml:space="preserve">BEST MEN'S PROGRAMME IN CANADA. Six national titles (1977, 2008, 2010, 2014, 2015, 2025). CORRECTION: they lost the 2025 OUA final to U of T but WON THE NATIONAL CHAMPIONSHIP - different trophies. Isacco played D1 at MARYLAND: 3x All-ACC first team, team captain 1992, Canadian Olympic Team - the only coach here who played ACC soccer and now coaches in Canada. 19th season. ROSTER IS A PRO PATHWAY: 2 players from Toronto FC II (MLS Next Pro), Vaughan SC (L1ON), TMU Bold, Utah Tech (NCAA D1). York Lions Stadium is ALSO home to York United FC (Canadian Premier League). 8 coaches, 4 with published emails. IF THE CANADIAN ROUTE IS LIVE, THIS IS THE FIRST CALL.</t>
  </si>
  <si>
    <t xml:space="preserve">REIGNING U SPORTS NATIONAL CHAMPIONS (2025). Defending the title in 2026.</t>
  </si>
  <si>
    <t xml:space="preserve">N/A - drivable, no flights for home matches</t>
  </si>
  <si>
    <t xml:space="preserve">~55,000 students; less grade-deflating than U of T</t>
  </si>
  <si>
    <t xml:space="preserve">Schulich = elite, DIRECT-ENTRY BBA (decided at admission, not after year 1). Osgoode Hall law.</t>
  </si>
  <si>
    <t xml:space="preserve">Western University</t>
  </si>
  <si>
    <t xml:space="preserve">London</t>
  </si>
  <si>
    <t xml:space="preserve">OUA West</t>
  </si>
  <si>
    <t xml:space="preserve">Martin Painter</t>
  </si>
  <si>
    <t xml:space="preserve">mpainter@uwo.ca</t>
  </si>
  <si>
    <t xml:space="preserve">KEY RISK: PAINTER COACHES BOTH THE MEN'S AND WOMEN'S TEAMS - every other school here has a dedicated men's head coach. Ask how his time is split and who runs men's training daily. He is decorated: U SPORTS Coach of the Year 2013, Canada Soccer A License, coached FC London in the PDL 2009-15 (North American championship 2012), and PLAYED on Western's 1999 national championship team. IVEY AEO: granted at high-school admission with a high entering average, but you enter Ivey only in 3rd year and must hold marks through years 1-2 - same trap as U of T's Program of Study, spread over two years. Most traditional/residential campus of the three Canadian options. Bio last updated 2022 - verify staff.</t>
  </si>
  <si>
    <t xml:space="preserve">OUA bronze 2018 under Painter. National title 1999 (Painter played on it).</t>
  </si>
  <si>
    <t xml:space="preserve">~2 hr to Detroit-Windsor - closest of the three</t>
  </si>
  <si>
    <t xml:space="preserve">~40,000 students; best campus culture in Ontario</t>
  </si>
  <si>
    <t xml:space="preserve">Ivey Business School - but AEO is a TWO-YEAR pathway, entry in 3rd year.</t>
  </si>
  <si>
    <t xml:space="preserve">State</t>
  </si>
  <si>
    <t xml:space="preserve">Why</t>
  </si>
  <si>
    <t xml:space="preserve">Cincinnati</t>
  </si>
  <si>
    <t xml:space="preserve">Program discontinued 14 April 2020</t>
  </si>
  <si>
    <t xml:space="preserve">Florida</t>
  </si>
  <si>
    <t xml:space="preserve">Club only - the SEC does not sponsor men's soccer</t>
  </si>
  <si>
    <t xml:space="preserve">Georgia</t>
  </si>
  <si>
    <t xml:space="preserve">Club only, same reason</t>
  </si>
  <si>
    <t xml:space="preserve">UT Austin</t>
  </si>
  <si>
    <t xml:space="preserve">Club only</t>
  </si>
  <si>
    <t xml:space="preserve">Purdue</t>
  </si>
  <si>
    <t xml:space="preserve">No varsity team; Purdue FC is a player-run club</t>
  </si>
  <si>
    <t xml:space="preserve">Miami (FL)</t>
  </si>
  <si>
    <t xml:space="preserve">16 varsity teams (7 men's), no men's soccer</t>
  </si>
  <si>
    <t xml:space="preserve">Arizona State</t>
  </si>
  <si>
    <t xml:space="preserve">AZ</t>
  </si>
  <si>
    <t xml:space="preserve">Appalachian State</t>
  </si>
  <si>
    <t xml:space="preserve">Program cut 26 May 2020 (COVID budget cuts); never reinstated. Appalachian FC (USL League Two) now plays at the old stadium.</t>
  </si>
  <si>
    <t xml:space="preserve">These 8 schools do not sponsor varsity men's soccer. Seven were on the original list of 19; Appalachian State was added to the extras before its 2020 cut was discovered.</t>
  </si>
  <si>
    <t xml:space="preserve">Men's Soccer Recruiting Tracker</t>
  </si>
  <si>
    <t xml:space="preserve">As of 16 September 2026</t>
  </si>
  <si>
    <t xml:space="preserve">How to use this workbook</t>
  </si>
  <si>
    <t xml:space="preserve">- Fill in only the shaded (yellow) columns on the Schools tab: Priority, Status, Date Contacted, Response.</t>
  </si>
  <si>
    <t xml:space="preserve">- Priority is a dropdown: A / B / C. Status is a dropdown with the outreach stages.</t>
  </si>
  <si>
    <t xml:space="preserve">- Every other column is research output - overwrite it only if you verify something newer.</t>
  </si>
  <si>
    <t xml:space="preserve">- Tier colour: blue = Core 12 (primary targets), grey = Extras, green = Canada (U SPORTS).</t>
  </si>
  <si>
    <t xml:space="preserve">- 'not published' means the school posts no email for that coach. 'not researched' means I haven't swept it yet.</t>
  </si>
  <si>
    <t xml:space="preserve">- Enrollment figures are approximate, from general knowledge rather than official fact books.</t>
  </si>
  <si>
    <t xml:space="preserve">Example row</t>
  </si>
  <si>
    <t xml:space="preserve">A</t>
  </si>
  <si>
    <t xml:space="preserve">Questionnaire submitted</t>
  </si>
  <si>
    <t xml:space="preserve">2026-09-20</t>
  </si>
  <si>
    <t xml:space="preserve">Awaiting</t>
  </si>
  <si>
    <t xml:space="preserve">Counts</t>
  </si>
  <si>
    <t xml:space="preserve">Total schools tracked</t>
  </si>
  <si>
    <t xml:space="preserve">Core 12 targets</t>
  </si>
  <si>
    <t xml:space="preserve">Extras</t>
  </si>
  <si>
    <t xml:space="preserve">Canadian (U SPORTS)</t>
  </si>
  <si>
    <t xml:space="preserve">Schools with a head coach email on file</t>
  </si>
  <si>
    <t xml:space="preserve">Schools still needing a contact sweep</t>
  </si>
  <si>
    <t xml:space="preserve">Schools with a questionnaire link</t>
  </si>
  <si>
    <t xml:space="preserve">Contacted so far</t>
  </si>
  <si>
    <t xml:space="preserve">Priority A</t>
  </si>
  <si>
    <t xml:space="preserve">Ruled out (no program)</t>
  </si>
  <si>
    <t xml:space="preserve">Schools profiled in depth</t>
  </si>
  <si>
    <t xml:space="preserve">Schools awaiting profile</t>
  </si>
  <si>
    <t xml:space="preserve">Schools with a partial profile (needs manual check)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</si>
</sst>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E2F0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9"/>
    <col collapsed="false" customWidth="true" hidden="false" outlineLevel="0" max="8" min="8" style="1" width="24"/>
    <col collapsed="false" customWidth="true" hidden="false" outlineLevel="0" max="9" min="9" style="1" width="13"/>
    <col collapsed="false" customWidth="true" hidden="false" outlineLevel="0" max="10" min="10" style="1" width="22"/>
    <col collapsed="false" customWidth="true" hidden="false" outlineLevel="0" max="11" min="11" style="1" width="26"/>
    <col collapsed="false" customWidth="true" hidden="false" outlineLevel="0" max="12" min="12" style="1" width="30"/>
    <col collapsed="false" customWidth="true" hidden="false" outlineLevel="0" max="13" min="13" style="1" width="26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0"/>
    <col collapsed="false" customWidth="true" hidden="false" outlineLevel="0" max="17" min="17" style="1" width="44"/>
    <col collapsed="false" customWidth="true" hidden="false" outlineLevel="0" max="18" min="18" style="1" width="10"/>
    <col collapsed="false" customWidth="true" hidden="false" outlineLevel="0" max="19" min="19" style="1" width="20"/>
    <col collapsed="false" customWidth="true" hidden="false" outlineLevel="0" max="20" min="20" style="1" width="14"/>
    <col collapsed="false" customWidth="true" hidden="false" outlineLevel="0" max="21" min="21" style="1" width="12"/>
    <col collapsed="false" customWidth="true" hidden="false" outlineLevel="0" max="22" min="22" style="1" width="60"/>
    <col collapsed="false" customWidth="true" hidden="false" outlineLevel="0" max="27" min="23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23.25" hidden="false" customHeight="true" outlineLevel="0" collapsed="false">
      <c r="A2" s="3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5" t="n">
        <v>12000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6" t="s">
        <v>42</v>
      </c>
      <c r="R2" s="7"/>
      <c r="S2" s="7" t="s">
        <v>43</v>
      </c>
      <c r="T2" s="8"/>
      <c r="U2" s="7"/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</row>
    <row r="3" customFormat="false" ht="23.25" hidden="false" customHeight="true" outlineLevel="0" collapsed="false">
      <c r="A3" s="3" t="s">
        <v>27</v>
      </c>
      <c r="B3" s="4" t="s">
        <v>50</v>
      </c>
      <c r="C3" s="4" t="s">
        <v>29</v>
      </c>
      <c r="D3" s="4" t="s">
        <v>51</v>
      </c>
      <c r="E3" s="4" t="s">
        <v>52</v>
      </c>
      <c r="F3" s="4" t="s">
        <v>32</v>
      </c>
      <c r="G3" s="4" t="s">
        <v>33</v>
      </c>
      <c r="H3" s="4" t="s">
        <v>53</v>
      </c>
      <c r="I3" s="5" t="n">
        <v>69000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55</v>
      </c>
      <c r="P3" s="4" t="s">
        <v>59</v>
      </c>
      <c r="Q3" s="6" t="s">
        <v>60</v>
      </c>
      <c r="R3" s="7"/>
      <c r="S3" s="7" t="s">
        <v>43</v>
      </c>
      <c r="T3" s="8"/>
      <c r="U3" s="7"/>
      <c r="V3" s="6" t="s">
        <v>61</v>
      </c>
      <c r="W3" s="6" t="s">
        <v>45</v>
      </c>
      <c r="X3" s="6" t="s">
        <v>62</v>
      </c>
      <c r="Y3" s="6" t="s">
        <v>63</v>
      </c>
      <c r="Z3" s="6" t="s">
        <v>64</v>
      </c>
      <c r="AA3" s="6" t="s">
        <v>65</v>
      </c>
    </row>
    <row r="4" customFormat="false" ht="23.25" hidden="false" customHeight="true" outlineLevel="0" collapsed="false">
      <c r="A4" s="3" t="s">
        <v>27</v>
      </c>
      <c r="B4" s="4" t="s">
        <v>66</v>
      </c>
      <c r="C4" s="4" t="s">
        <v>29</v>
      </c>
      <c r="D4" s="4" t="s">
        <v>51</v>
      </c>
      <c r="E4" s="4" t="s">
        <v>67</v>
      </c>
      <c r="F4" s="4" t="s">
        <v>32</v>
      </c>
      <c r="G4" s="4" t="s">
        <v>33</v>
      </c>
      <c r="H4" s="4" t="s">
        <v>68</v>
      </c>
      <c r="I4" s="5" t="n">
        <v>50000</v>
      </c>
      <c r="J4" s="4" t="s">
        <v>69</v>
      </c>
      <c r="K4" s="4" t="s">
        <v>70</v>
      </c>
      <c r="L4" s="4" t="s">
        <v>71</v>
      </c>
      <c r="M4" s="4" t="s">
        <v>72</v>
      </c>
      <c r="N4" s="4" t="s">
        <v>73</v>
      </c>
      <c r="O4" s="4" t="s">
        <v>74</v>
      </c>
      <c r="P4" s="4" t="s">
        <v>69</v>
      </c>
      <c r="Q4" s="6" t="s">
        <v>75</v>
      </c>
      <c r="R4" s="7"/>
      <c r="S4" s="7" t="s">
        <v>43</v>
      </c>
      <c r="T4" s="8"/>
      <c r="U4" s="7"/>
      <c r="V4" s="6" t="s">
        <v>76</v>
      </c>
      <c r="W4" s="6" t="s">
        <v>45</v>
      </c>
      <c r="X4" s="6" t="s">
        <v>77</v>
      </c>
      <c r="Y4" s="6" t="s">
        <v>78</v>
      </c>
      <c r="Z4" s="6" t="s">
        <v>79</v>
      </c>
      <c r="AA4" s="6" t="s">
        <v>80</v>
      </c>
    </row>
    <row r="5" customFormat="false" ht="23.25" hidden="false" customHeight="true" outlineLevel="0" collapsed="false">
      <c r="A5" s="3" t="s">
        <v>27</v>
      </c>
      <c r="B5" s="4" t="s">
        <v>81</v>
      </c>
      <c r="C5" s="4" t="s">
        <v>29</v>
      </c>
      <c r="D5" s="4" t="s">
        <v>82</v>
      </c>
      <c r="E5" s="4" t="s">
        <v>83</v>
      </c>
      <c r="F5" s="4" t="s">
        <v>32</v>
      </c>
      <c r="G5" s="4" t="s">
        <v>33</v>
      </c>
      <c r="H5" s="4" t="s">
        <v>84</v>
      </c>
      <c r="I5" s="5" t="n">
        <v>36000</v>
      </c>
      <c r="J5" s="4" t="s">
        <v>85</v>
      </c>
      <c r="K5" s="4" t="s">
        <v>86</v>
      </c>
      <c r="L5" s="4"/>
      <c r="M5" s="4"/>
      <c r="N5" s="4"/>
      <c r="O5" s="4"/>
      <c r="P5" s="4" t="s">
        <v>87</v>
      </c>
      <c r="Q5" s="6" t="s">
        <v>88</v>
      </c>
      <c r="R5" s="7"/>
      <c r="S5" s="7" t="s">
        <v>43</v>
      </c>
      <c r="T5" s="8"/>
      <c r="U5" s="7"/>
      <c r="V5" s="6" t="s">
        <v>89</v>
      </c>
      <c r="W5" s="6" t="s">
        <v>45</v>
      </c>
      <c r="X5" s="6" t="s">
        <v>90</v>
      </c>
      <c r="Y5" s="6" t="s">
        <v>91</v>
      </c>
      <c r="Z5" s="6" t="s">
        <v>92</v>
      </c>
      <c r="AA5" s="6" t="s">
        <v>93</v>
      </c>
    </row>
    <row r="6" customFormat="false" ht="23.25" hidden="false" customHeight="true" outlineLevel="0" collapsed="false">
      <c r="A6" s="3" t="s">
        <v>27</v>
      </c>
      <c r="B6" s="4" t="s">
        <v>94</v>
      </c>
      <c r="C6" s="4" t="s">
        <v>29</v>
      </c>
      <c r="D6" s="4" t="s">
        <v>95</v>
      </c>
      <c r="E6" s="4" t="s">
        <v>96</v>
      </c>
      <c r="F6" s="4" t="s">
        <v>32</v>
      </c>
      <c r="G6" s="4" t="s">
        <v>33</v>
      </c>
      <c r="H6" s="4" t="s">
        <v>97</v>
      </c>
      <c r="I6" s="5" t="n">
        <v>66000</v>
      </c>
      <c r="J6" s="4" t="s">
        <v>98</v>
      </c>
      <c r="K6" s="4" t="s">
        <v>99</v>
      </c>
      <c r="L6" s="4" t="s">
        <v>100</v>
      </c>
      <c r="M6" s="4" t="s">
        <v>101</v>
      </c>
      <c r="N6" s="4" t="s">
        <v>102</v>
      </c>
      <c r="O6" s="4" t="s">
        <v>103</v>
      </c>
      <c r="P6" s="4" t="s">
        <v>98</v>
      </c>
      <c r="Q6" s="6" t="s">
        <v>104</v>
      </c>
      <c r="R6" s="7"/>
      <c r="S6" s="7" t="s">
        <v>43</v>
      </c>
      <c r="T6" s="8"/>
      <c r="U6" s="7"/>
      <c r="V6" s="6" t="s">
        <v>105</v>
      </c>
      <c r="W6" s="6" t="s">
        <v>45</v>
      </c>
      <c r="X6" s="6" t="s">
        <v>106</v>
      </c>
      <c r="Y6" s="6" t="s">
        <v>107</v>
      </c>
      <c r="Z6" s="6" t="s">
        <v>108</v>
      </c>
      <c r="AA6" s="6" t="s">
        <v>109</v>
      </c>
    </row>
    <row r="7" customFormat="false" ht="23.25" hidden="false" customHeight="true" outlineLevel="0" collapsed="false">
      <c r="A7" s="3" t="s">
        <v>27</v>
      </c>
      <c r="B7" s="4" t="s">
        <v>110</v>
      </c>
      <c r="C7" s="4" t="s">
        <v>29</v>
      </c>
      <c r="D7" s="4" t="s">
        <v>111</v>
      </c>
      <c r="E7" s="4" t="s">
        <v>112</v>
      </c>
      <c r="F7" s="4" t="s">
        <v>32</v>
      </c>
      <c r="G7" s="4" t="s">
        <v>33</v>
      </c>
      <c r="H7" s="4" t="s">
        <v>97</v>
      </c>
      <c r="I7" s="5" t="n">
        <v>48000</v>
      </c>
      <c r="J7" s="4" t="s">
        <v>113</v>
      </c>
      <c r="K7" s="4" t="s">
        <v>86</v>
      </c>
      <c r="L7" s="4" t="s">
        <v>114</v>
      </c>
      <c r="M7" s="4" t="s">
        <v>115</v>
      </c>
      <c r="N7" s="4" t="s">
        <v>116</v>
      </c>
      <c r="O7" s="4" t="s">
        <v>117</v>
      </c>
      <c r="P7" s="4" t="s">
        <v>115</v>
      </c>
      <c r="Q7" s="6" t="s">
        <v>118</v>
      </c>
      <c r="R7" s="7"/>
      <c r="S7" s="7" t="s">
        <v>43</v>
      </c>
      <c r="T7" s="8"/>
      <c r="U7" s="7"/>
      <c r="V7" s="6" t="s">
        <v>119</v>
      </c>
      <c r="W7" s="6" t="s">
        <v>45</v>
      </c>
      <c r="X7" s="6" t="s">
        <v>120</v>
      </c>
      <c r="Y7" s="6" t="s">
        <v>121</v>
      </c>
      <c r="Z7" s="6" t="s">
        <v>122</v>
      </c>
      <c r="AA7" s="6" t="s">
        <v>123</v>
      </c>
    </row>
    <row r="8" customFormat="false" ht="23.25" hidden="false" customHeight="true" outlineLevel="0" collapsed="false">
      <c r="A8" s="3" t="s">
        <v>27</v>
      </c>
      <c r="B8" s="4" t="s">
        <v>124</v>
      </c>
      <c r="C8" s="4" t="s">
        <v>29</v>
      </c>
      <c r="D8" s="4" t="s">
        <v>125</v>
      </c>
      <c r="E8" s="4" t="s">
        <v>126</v>
      </c>
      <c r="F8" s="4" t="s">
        <v>32</v>
      </c>
      <c r="G8" s="4" t="s">
        <v>33</v>
      </c>
      <c r="H8" s="4" t="s">
        <v>127</v>
      </c>
      <c r="I8" s="5" t="n">
        <v>37000</v>
      </c>
      <c r="J8" s="4" t="s">
        <v>128</v>
      </c>
      <c r="K8" s="4" t="s">
        <v>129</v>
      </c>
      <c r="L8" s="4" t="s">
        <v>130</v>
      </c>
      <c r="M8" s="4" t="s">
        <v>131</v>
      </c>
      <c r="N8" s="4" t="s">
        <v>132</v>
      </c>
      <c r="O8" s="4" t="s">
        <v>133</v>
      </c>
      <c r="P8" s="4" t="s">
        <v>128</v>
      </c>
      <c r="Q8" s="6" t="s">
        <v>134</v>
      </c>
      <c r="R8" s="7"/>
      <c r="S8" s="7" t="s">
        <v>43</v>
      </c>
      <c r="T8" s="8"/>
      <c r="U8" s="7"/>
      <c r="V8" s="6" t="s">
        <v>135</v>
      </c>
      <c r="W8" s="6" t="s">
        <v>45</v>
      </c>
      <c r="X8" s="6" t="s">
        <v>136</v>
      </c>
      <c r="Y8" s="6" t="s">
        <v>137</v>
      </c>
      <c r="Z8" s="6" t="s">
        <v>138</v>
      </c>
      <c r="AA8" s="6" t="s">
        <v>139</v>
      </c>
    </row>
    <row r="9" customFormat="false" ht="23.25" hidden="false" customHeight="true" outlineLevel="0" collapsed="false">
      <c r="A9" s="3" t="s">
        <v>27</v>
      </c>
      <c r="B9" s="4" t="s">
        <v>140</v>
      </c>
      <c r="C9" s="4" t="s">
        <v>29</v>
      </c>
      <c r="D9" s="4" t="s">
        <v>125</v>
      </c>
      <c r="E9" s="4" t="s">
        <v>126</v>
      </c>
      <c r="F9" s="4" t="s">
        <v>32</v>
      </c>
      <c r="G9" s="4" t="s">
        <v>33</v>
      </c>
      <c r="H9" s="4" t="s">
        <v>141</v>
      </c>
      <c r="I9" s="5" t="n">
        <v>30000</v>
      </c>
      <c r="J9" s="4" t="s">
        <v>142</v>
      </c>
      <c r="K9" s="4" t="s">
        <v>86</v>
      </c>
      <c r="L9" s="4" t="s">
        <v>143</v>
      </c>
      <c r="M9" s="4" t="s">
        <v>86</v>
      </c>
      <c r="N9" s="4" t="s">
        <v>144</v>
      </c>
      <c r="O9" s="4" t="s">
        <v>86</v>
      </c>
      <c r="P9" s="4" t="s">
        <v>87</v>
      </c>
      <c r="Q9" s="6" t="s">
        <v>145</v>
      </c>
      <c r="R9" s="7"/>
      <c r="S9" s="7" t="s">
        <v>43</v>
      </c>
      <c r="T9" s="8"/>
      <c r="U9" s="7"/>
      <c r="V9" s="6" t="s">
        <v>146</v>
      </c>
      <c r="W9" s="6" t="s">
        <v>45</v>
      </c>
      <c r="X9" s="6" t="s">
        <v>147</v>
      </c>
      <c r="Y9" s="6" t="s">
        <v>137</v>
      </c>
      <c r="Z9" s="6" t="s">
        <v>148</v>
      </c>
      <c r="AA9" s="6" t="s">
        <v>149</v>
      </c>
    </row>
    <row r="10" customFormat="false" ht="23.25" hidden="false" customHeight="true" outlineLevel="0" collapsed="false">
      <c r="A10" s="3" t="s">
        <v>27</v>
      </c>
      <c r="B10" s="4" t="s">
        <v>150</v>
      </c>
      <c r="C10" s="4" t="s">
        <v>29</v>
      </c>
      <c r="D10" s="4" t="s">
        <v>151</v>
      </c>
      <c r="E10" s="4" t="s">
        <v>152</v>
      </c>
      <c r="F10" s="4" t="s">
        <v>32</v>
      </c>
      <c r="G10" s="4" t="s">
        <v>33</v>
      </c>
      <c r="H10" s="4" t="s">
        <v>153</v>
      </c>
      <c r="I10" s="5" t="n">
        <v>26000</v>
      </c>
      <c r="J10" s="4" t="s">
        <v>154</v>
      </c>
      <c r="K10" s="4" t="s">
        <v>155</v>
      </c>
      <c r="L10" s="4" t="s">
        <v>156</v>
      </c>
      <c r="M10" s="4" t="s">
        <v>155</v>
      </c>
      <c r="N10" s="4" t="s">
        <v>157</v>
      </c>
      <c r="O10" s="4" t="s">
        <v>155</v>
      </c>
      <c r="P10" s="4" t="s">
        <v>158</v>
      </c>
      <c r="Q10" s="6" t="s">
        <v>159</v>
      </c>
      <c r="R10" s="7"/>
      <c r="S10" s="7" t="s">
        <v>43</v>
      </c>
      <c r="T10" s="8"/>
      <c r="U10" s="7"/>
      <c r="V10" s="6" t="s">
        <v>160</v>
      </c>
      <c r="W10" s="6" t="s">
        <v>45</v>
      </c>
      <c r="X10" s="6" t="s">
        <v>161</v>
      </c>
      <c r="Y10" s="6" t="s">
        <v>162</v>
      </c>
      <c r="Z10" s="6" t="s">
        <v>163</v>
      </c>
      <c r="AA10" s="6" t="s">
        <v>164</v>
      </c>
    </row>
    <row r="11" customFormat="false" ht="23.25" hidden="false" customHeight="true" outlineLevel="0" collapsed="false">
      <c r="A11" s="3" t="s">
        <v>27</v>
      </c>
      <c r="B11" s="4" t="s">
        <v>165</v>
      </c>
      <c r="C11" s="4" t="s">
        <v>29</v>
      </c>
      <c r="D11" s="4" t="s">
        <v>166</v>
      </c>
      <c r="E11" s="4" t="s">
        <v>167</v>
      </c>
      <c r="F11" s="4" t="s">
        <v>32</v>
      </c>
      <c r="G11" s="4" t="s">
        <v>33</v>
      </c>
      <c r="H11" s="4" t="s">
        <v>168</v>
      </c>
      <c r="I11" s="5" t="n">
        <v>12000</v>
      </c>
      <c r="J11" s="4" t="s">
        <v>169</v>
      </c>
      <c r="K11" s="4" t="s">
        <v>170</v>
      </c>
      <c r="L11" s="4" t="s">
        <v>171</v>
      </c>
      <c r="M11" s="4" t="s">
        <v>172</v>
      </c>
      <c r="N11" s="4" t="s">
        <v>173</v>
      </c>
      <c r="O11" s="4" t="s">
        <v>174</v>
      </c>
      <c r="P11" s="4" t="s">
        <v>169</v>
      </c>
      <c r="Q11" s="6" t="s">
        <v>175</v>
      </c>
      <c r="R11" s="7"/>
      <c r="S11" s="7" t="s">
        <v>43</v>
      </c>
      <c r="T11" s="8"/>
      <c r="U11" s="7"/>
      <c r="V11" s="6" t="s">
        <v>176</v>
      </c>
      <c r="W11" s="6" t="s">
        <v>45</v>
      </c>
      <c r="X11" s="6" t="s">
        <v>177</v>
      </c>
      <c r="Y11" s="6" t="s">
        <v>178</v>
      </c>
      <c r="Z11" s="6" t="s">
        <v>179</v>
      </c>
      <c r="AA11" s="6" t="s">
        <v>180</v>
      </c>
    </row>
    <row r="12" customFormat="false" ht="23.25" hidden="false" customHeight="true" outlineLevel="0" collapsed="false">
      <c r="A12" s="3" t="s">
        <v>27</v>
      </c>
      <c r="B12" s="4" t="s">
        <v>181</v>
      </c>
      <c r="C12" s="4" t="s">
        <v>29</v>
      </c>
      <c r="D12" s="4" t="s">
        <v>125</v>
      </c>
      <c r="E12" s="4" t="s">
        <v>182</v>
      </c>
      <c r="F12" s="4" t="s">
        <v>32</v>
      </c>
      <c r="G12" s="4" t="s">
        <v>33</v>
      </c>
      <c r="H12" s="4" t="s">
        <v>168</v>
      </c>
      <c r="I12" s="5" t="n">
        <v>18000</v>
      </c>
      <c r="J12" s="4" t="s">
        <v>183</v>
      </c>
      <c r="K12" s="4" t="s">
        <v>184</v>
      </c>
      <c r="L12" s="4" t="s">
        <v>185</v>
      </c>
      <c r="M12" s="4" t="s">
        <v>186</v>
      </c>
      <c r="N12" s="4" t="s">
        <v>187</v>
      </c>
      <c r="O12" s="4" t="s">
        <v>188</v>
      </c>
      <c r="P12" s="4" t="s">
        <v>183</v>
      </c>
      <c r="Q12" s="6" t="s">
        <v>189</v>
      </c>
      <c r="R12" s="7"/>
      <c r="S12" s="7" t="s">
        <v>43</v>
      </c>
      <c r="T12" s="8"/>
      <c r="U12" s="7"/>
      <c r="V12" s="6" t="s">
        <v>190</v>
      </c>
      <c r="W12" s="6" t="s">
        <v>45</v>
      </c>
      <c r="X12" s="6" t="s">
        <v>191</v>
      </c>
      <c r="Y12" s="6" t="s">
        <v>192</v>
      </c>
      <c r="Z12" s="6" t="s">
        <v>193</v>
      </c>
      <c r="AA12" s="6" t="s">
        <v>194</v>
      </c>
    </row>
    <row r="13" customFormat="false" ht="23.25" hidden="false" customHeight="true" outlineLevel="0" collapsed="false">
      <c r="A13" s="3" t="s">
        <v>27</v>
      </c>
      <c r="B13" s="4" t="s">
        <v>195</v>
      </c>
      <c r="C13" s="4" t="s">
        <v>29</v>
      </c>
      <c r="D13" s="4" t="s">
        <v>196</v>
      </c>
      <c r="E13" s="4" t="s">
        <v>197</v>
      </c>
      <c r="F13" s="4" t="s">
        <v>32</v>
      </c>
      <c r="G13" s="4" t="s">
        <v>33</v>
      </c>
      <c r="H13" s="4" t="s">
        <v>198</v>
      </c>
      <c r="I13" s="5" t="n">
        <v>19000</v>
      </c>
      <c r="J13" s="4" t="s">
        <v>199</v>
      </c>
      <c r="K13" s="4" t="s">
        <v>200</v>
      </c>
      <c r="L13" s="4" t="s">
        <v>201</v>
      </c>
      <c r="M13" s="4" t="s">
        <v>202</v>
      </c>
      <c r="N13" s="4" t="s">
        <v>203</v>
      </c>
      <c r="O13" s="4" t="s">
        <v>204</v>
      </c>
      <c r="P13" s="4" t="s">
        <v>199</v>
      </c>
      <c r="Q13" s="6" t="s">
        <v>205</v>
      </c>
      <c r="R13" s="7"/>
      <c r="S13" s="7" t="s">
        <v>43</v>
      </c>
      <c r="T13" s="8"/>
      <c r="U13" s="7"/>
      <c r="V13" s="6" t="s">
        <v>206</v>
      </c>
      <c r="W13" s="6" t="s">
        <v>45</v>
      </c>
      <c r="X13" s="6" t="s">
        <v>207</v>
      </c>
      <c r="Y13" s="6" t="s">
        <v>208</v>
      </c>
      <c r="Z13" s="6" t="s">
        <v>209</v>
      </c>
      <c r="AA13" s="6" t="s">
        <v>210</v>
      </c>
    </row>
    <row r="14" customFormat="false" ht="23.25" hidden="false" customHeight="true" outlineLevel="0" collapsed="false">
      <c r="A14" s="9" t="s">
        <v>211</v>
      </c>
      <c r="B14" s="4" t="s">
        <v>212</v>
      </c>
      <c r="C14" s="4" t="s">
        <v>29</v>
      </c>
      <c r="D14" s="4" t="s">
        <v>51</v>
      </c>
      <c r="E14" s="4" t="s">
        <v>213</v>
      </c>
      <c r="F14" s="4" t="s">
        <v>32</v>
      </c>
      <c r="G14" s="4" t="s">
        <v>33</v>
      </c>
      <c r="H14" s="4" t="s">
        <v>214</v>
      </c>
      <c r="I14" s="5" t="n">
        <v>56000</v>
      </c>
      <c r="J14" s="4" t="s">
        <v>215</v>
      </c>
      <c r="K14" s="4" t="s">
        <v>216</v>
      </c>
      <c r="L14" s="4" t="s">
        <v>217</v>
      </c>
      <c r="M14" s="4" t="s">
        <v>218</v>
      </c>
      <c r="N14" s="4" t="s">
        <v>219</v>
      </c>
      <c r="O14" s="4" t="s">
        <v>220</v>
      </c>
      <c r="P14" s="4" t="s">
        <v>215</v>
      </c>
      <c r="Q14" s="6" t="s">
        <v>221</v>
      </c>
      <c r="R14" s="7"/>
      <c r="S14" s="7" t="s">
        <v>43</v>
      </c>
      <c r="T14" s="8"/>
      <c r="U14" s="7"/>
      <c r="V14" s="6" t="s">
        <v>222</v>
      </c>
      <c r="W14" s="6" t="s">
        <v>45</v>
      </c>
      <c r="X14" s="6" t="s">
        <v>223</v>
      </c>
      <c r="Y14" s="6" t="s">
        <v>224</v>
      </c>
      <c r="Z14" s="6" t="s">
        <v>225</v>
      </c>
      <c r="AA14" s="6" t="s">
        <v>226</v>
      </c>
    </row>
    <row r="15" customFormat="false" ht="23.25" hidden="false" customHeight="true" outlineLevel="0" collapsed="false">
      <c r="A15" s="9" t="s">
        <v>211</v>
      </c>
      <c r="B15" s="4" t="s">
        <v>227</v>
      </c>
      <c r="C15" s="4" t="s">
        <v>29</v>
      </c>
      <c r="D15" s="4" t="s">
        <v>228</v>
      </c>
      <c r="E15" s="4" t="s">
        <v>229</v>
      </c>
      <c r="F15" s="4" t="s">
        <v>32</v>
      </c>
      <c r="G15" s="4" t="s">
        <v>33</v>
      </c>
      <c r="H15" s="4" t="s">
        <v>230</v>
      </c>
      <c r="I15" s="5" t="n">
        <v>51000</v>
      </c>
      <c r="J15" s="4" t="s">
        <v>231</v>
      </c>
      <c r="K15" s="4" t="s">
        <v>232</v>
      </c>
      <c r="L15" s="4" t="s">
        <v>233</v>
      </c>
      <c r="M15" s="4" t="s">
        <v>234</v>
      </c>
      <c r="N15" s="4" t="s">
        <v>235</v>
      </c>
      <c r="O15" s="4" t="s">
        <v>236</v>
      </c>
      <c r="P15" s="4" t="s">
        <v>231</v>
      </c>
      <c r="Q15" s="6" t="s">
        <v>42</v>
      </c>
      <c r="R15" s="7"/>
      <c r="S15" s="7" t="s">
        <v>43</v>
      </c>
      <c r="T15" s="8"/>
      <c r="U15" s="7"/>
      <c r="V15" s="6" t="s">
        <v>237</v>
      </c>
      <c r="W15" s="6" t="s">
        <v>45</v>
      </c>
      <c r="X15" s="6" t="s">
        <v>238</v>
      </c>
      <c r="Y15" s="6" t="s">
        <v>239</v>
      </c>
      <c r="Z15" s="6" t="s">
        <v>240</v>
      </c>
      <c r="AA15" s="6" t="s">
        <v>241</v>
      </c>
    </row>
    <row r="16" customFormat="false" ht="23.25" hidden="false" customHeight="true" outlineLevel="0" collapsed="false">
      <c r="A16" s="9" t="s">
        <v>211</v>
      </c>
      <c r="B16" s="4" t="s">
        <v>242</v>
      </c>
      <c r="C16" s="4" t="s">
        <v>29</v>
      </c>
      <c r="D16" s="4" t="s">
        <v>228</v>
      </c>
      <c r="E16" s="4" t="s">
        <v>243</v>
      </c>
      <c r="F16" s="4" t="s">
        <v>32</v>
      </c>
      <c r="G16" s="4" t="s">
        <v>33</v>
      </c>
      <c r="H16" s="4" t="s">
        <v>244</v>
      </c>
      <c r="I16" s="5" t="n">
        <v>47000</v>
      </c>
      <c r="J16" s="4" t="s">
        <v>245</v>
      </c>
      <c r="K16" s="4" t="s">
        <v>246</v>
      </c>
      <c r="L16" s="4"/>
      <c r="M16" s="4"/>
      <c r="N16" s="4"/>
      <c r="O16" s="4"/>
      <c r="P16" s="4" t="s">
        <v>247</v>
      </c>
      <c r="Q16" s="6" t="s">
        <v>246</v>
      </c>
      <c r="R16" s="7"/>
      <c r="S16" s="7" t="s">
        <v>43</v>
      </c>
      <c r="T16" s="8"/>
      <c r="U16" s="7"/>
      <c r="V16" s="6" t="s">
        <v>248</v>
      </c>
      <c r="W16" s="6" t="s">
        <v>249</v>
      </c>
      <c r="X16" s="6" t="s">
        <v>250</v>
      </c>
      <c r="Y16" s="6" t="s">
        <v>251</v>
      </c>
      <c r="Z16" s="6" t="s">
        <v>252</v>
      </c>
      <c r="AA16" s="6" t="s">
        <v>253</v>
      </c>
    </row>
    <row r="17" customFormat="false" ht="23.25" hidden="false" customHeight="true" outlineLevel="0" collapsed="false">
      <c r="A17" s="9" t="s">
        <v>211</v>
      </c>
      <c r="B17" s="4" t="s">
        <v>254</v>
      </c>
      <c r="C17" s="4" t="s">
        <v>29</v>
      </c>
      <c r="D17" s="4" t="s">
        <v>255</v>
      </c>
      <c r="E17" s="4" t="s">
        <v>256</v>
      </c>
      <c r="F17" s="4" t="s">
        <v>32</v>
      </c>
      <c r="G17" s="4" t="s">
        <v>33</v>
      </c>
      <c r="H17" s="4" t="s">
        <v>34</v>
      </c>
      <c r="I17" s="5" t="n">
        <v>38000</v>
      </c>
      <c r="J17" s="4" t="s">
        <v>257</v>
      </c>
      <c r="K17" s="4" t="s">
        <v>258</v>
      </c>
      <c r="L17" s="4" t="s">
        <v>259</v>
      </c>
      <c r="M17" s="4" t="s">
        <v>258</v>
      </c>
      <c r="N17" s="4" t="s">
        <v>260</v>
      </c>
      <c r="O17" s="4" t="s">
        <v>258</v>
      </c>
      <c r="P17" s="4" t="s">
        <v>158</v>
      </c>
      <c r="Q17" s="6" t="s">
        <v>261</v>
      </c>
      <c r="R17" s="7"/>
      <c r="S17" s="7" t="s">
        <v>43</v>
      </c>
      <c r="T17" s="8"/>
      <c r="U17" s="7"/>
      <c r="V17" s="6" t="s">
        <v>262</v>
      </c>
      <c r="W17" s="6" t="s">
        <v>45</v>
      </c>
      <c r="X17" s="6" t="s">
        <v>263</v>
      </c>
      <c r="Y17" s="6" t="s">
        <v>264</v>
      </c>
      <c r="Z17" s="6" t="s">
        <v>265</v>
      </c>
      <c r="AA17" s="6" t="s">
        <v>266</v>
      </c>
    </row>
    <row r="18" customFormat="false" ht="23.25" hidden="false" customHeight="true" outlineLevel="0" collapsed="false">
      <c r="A18" s="9" t="s">
        <v>211</v>
      </c>
      <c r="B18" s="4" t="s">
        <v>267</v>
      </c>
      <c r="C18" s="4" t="s">
        <v>29</v>
      </c>
      <c r="D18" s="4" t="s">
        <v>255</v>
      </c>
      <c r="E18" s="4" t="s">
        <v>268</v>
      </c>
      <c r="F18" s="4" t="s">
        <v>32</v>
      </c>
      <c r="G18" s="4" t="s">
        <v>33</v>
      </c>
      <c r="H18" s="4" t="s">
        <v>34</v>
      </c>
      <c r="I18" s="5" t="n">
        <v>32000</v>
      </c>
      <c r="J18" s="4" t="s">
        <v>269</v>
      </c>
      <c r="K18" s="4" t="s">
        <v>270</v>
      </c>
      <c r="L18" s="4" t="s">
        <v>271</v>
      </c>
      <c r="M18" s="4" t="s">
        <v>272</v>
      </c>
      <c r="N18" s="4" t="s">
        <v>273</v>
      </c>
      <c r="O18" s="4" t="s">
        <v>274</v>
      </c>
      <c r="P18" s="4" t="s">
        <v>269</v>
      </c>
      <c r="Q18" s="6" t="s">
        <v>275</v>
      </c>
      <c r="R18" s="7"/>
      <c r="S18" s="7" t="s">
        <v>43</v>
      </c>
      <c r="T18" s="8"/>
      <c r="U18" s="7"/>
      <c r="V18" s="6" t="s">
        <v>276</v>
      </c>
      <c r="W18" s="6" t="s">
        <v>45</v>
      </c>
      <c r="X18" s="6" t="s">
        <v>277</v>
      </c>
      <c r="Y18" s="6" t="s">
        <v>264</v>
      </c>
      <c r="Z18" s="6" t="s">
        <v>278</v>
      </c>
      <c r="AA18" s="6" t="s">
        <v>279</v>
      </c>
    </row>
    <row r="19" customFormat="false" ht="23.25" hidden="false" customHeight="true" outlineLevel="0" collapsed="false">
      <c r="A19" s="9" t="s">
        <v>211</v>
      </c>
      <c r="B19" s="4" t="s">
        <v>280</v>
      </c>
      <c r="C19" s="4" t="s">
        <v>29</v>
      </c>
      <c r="D19" s="4" t="s">
        <v>255</v>
      </c>
      <c r="E19" s="4" t="s">
        <v>281</v>
      </c>
      <c r="F19" s="4" t="s">
        <v>32</v>
      </c>
      <c r="G19" s="4" t="s">
        <v>33</v>
      </c>
      <c r="H19" s="4" t="s">
        <v>68</v>
      </c>
      <c r="I19" s="5" t="n">
        <v>30000</v>
      </c>
      <c r="J19" s="4" t="s">
        <v>282</v>
      </c>
      <c r="K19" s="4" t="s">
        <v>246</v>
      </c>
      <c r="L19" s="4"/>
      <c r="M19" s="4"/>
      <c r="N19" s="4"/>
      <c r="O19" s="4"/>
      <c r="P19" s="4" t="s">
        <v>283</v>
      </c>
      <c r="Q19" s="6" t="s">
        <v>246</v>
      </c>
      <c r="R19" s="7"/>
      <c r="S19" s="7" t="s">
        <v>43</v>
      </c>
      <c r="T19" s="8"/>
      <c r="U19" s="7"/>
      <c r="V19" s="6" t="s">
        <v>284</v>
      </c>
      <c r="W19" s="6" t="s">
        <v>45</v>
      </c>
      <c r="X19" s="6" t="s">
        <v>285</v>
      </c>
      <c r="Y19" s="6" t="s">
        <v>286</v>
      </c>
      <c r="Z19" s="6" t="s">
        <v>287</v>
      </c>
      <c r="AA19" s="6" t="s">
        <v>288</v>
      </c>
    </row>
    <row r="20" customFormat="false" ht="15" hidden="false" customHeight="true" outlineLevel="0" collapsed="false">
      <c r="A20" s="9" t="s">
        <v>211</v>
      </c>
      <c r="B20" s="4" t="s">
        <v>289</v>
      </c>
      <c r="C20" s="4" t="s">
        <v>29</v>
      </c>
      <c r="D20" s="4" t="s">
        <v>51</v>
      </c>
      <c r="E20" s="4" t="s">
        <v>290</v>
      </c>
      <c r="F20" s="4" t="s">
        <v>32</v>
      </c>
      <c r="G20" s="4" t="s">
        <v>33</v>
      </c>
      <c r="H20" s="4" t="s">
        <v>68</v>
      </c>
      <c r="I20" s="5" t="n">
        <v>30000</v>
      </c>
      <c r="J20" s="4" t="s">
        <v>291</v>
      </c>
      <c r="K20" s="4" t="s">
        <v>246</v>
      </c>
      <c r="L20" s="4" t="s">
        <v>292</v>
      </c>
      <c r="M20" s="4"/>
      <c r="N20" s="4"/>
      <c r="O20" s="4"/>
      <c r="P20" s="4"/>
      <c r="Q20" s="6" t="s">
        <v>246</v>
      </c>
      <c r="R20" s="7"/>
      <c r="S20" s="7" t="s">
        <v>43</v>
      </c>
      <c r="T20" s="8"/>
      <c r="U20" s="7"/>
      <c r="V20" s="6" t="s">
        <v>293</v>
      </c>
      <c r="W20" s="6" t="s">
        <v>45</v>
      </c>
      <c r="X20" s="6" t="s">
        <v>294</v>
      </c>
      <c r="Y20" s="6" t="s">
        <v>295</v>
      </c>
      <c r="Z20" s="6" t="s">
        <v>296</v>
      </c>
      <c r="AA20" s="6" t="s">
        <v>297</v>
      </c>
    </row>
    <row r="21" customFormat="false" ht="23.25" hidden="false" customHeight="true" outlineLevel="0" collapsed="false">
      <c r="A21" s="9" t="s">
        <v>211</v>
      </c>
      <c r="B21" s="4" t="s">
        <v>298</v>
      </c>
      <c r="C21" s="4" t="s">
        <v>29</v>
      </c>
      <c r="D21" s="4" t="s">
        <v>82</v>
      </c>
      <c r="E21" s="4" t="s">
        <v>298</v>
      </c>
      <c r="F21" s="4" t="s">
        <v>32</v>
      </c>
      <c r="G21" s="4" t="s">
        <v>33</v>
      </c>
      <c r="H21" s="4" t="s">
        <v>34</v>
      </c>
      <c r="I21" s="5" t="n">
        <v>29000</v>
      </c>
      <c r="J21" s="4" t="s">
        <v>299</v>
      </c>
      <c r="K21" s="4" t="s">
        <v>246</v>
      </c>
      <c r="L21" s="4" t="s">
        <v>300</v>
      </c>
      <c r="M21" s="4" t="s">
        <v>246</v>
      </c>
      <c r="N21" s="4" t="s">
        <v>301</v>
      </c>
      <c r="O21" s="4" t="s">
        <v>246</v>
      </c>
      <c r="P21" s="4"/>
      <c r="Q21" s="6" t="s">
        <v>246</v>
      </c>
      <c r="R21" s="7"/>
      <c r="S21" s="7" t="s">
        <v>43</v>
      </c>
      <c r="T21" s="8"/>
      <c r="U21" s="7"/>
      <c r="V21" s="6" t="s">
        <v>302</v>
      </c>
      <c r="W21" s="6" t="s">
        <v>45</v>
      </c>
      <c r="X21" s="6" t="s">
        <v>303</v>
      </c>
      <c r="Y21" s="6" t="s">
        <v>304</v>
      </c>
      <c r="Z21" s="6" t="s">
        <v>305</v>
      </c>
      <c r="AA21" s="6" t="s">
        <v>306</v>
      </c>
    </row>
    <row r="22" customFormat="false" ht="23.25" hidden="false" customHeight="true" outlineLevel="0" collapsed="false">
      <c r="A22" s="9" t="s">
        <v>211</v>
      </c>
      <c r="B22" s="4" t="s">
        <v>307</v>
      </c>
      <c r="C22" s="4" t="s">
        <v>29</v>
      </c>
      <c r="D22" s="4" t="s">
        <v>228</v>
      </c>
      <c r="E22" s="4" t="s">
        <v>308</v>
      </c>
      <c r="F22" s="4" t="s">
        <v>32</v>
      </c>
      <c r="G22" s="4" t="s">
        <v>33</v>
      </c>
      <c r="H22" s="4" t="s">
        <v>230</v>
      </c>
      <c r="I22" s="5" t="n">
        <v>26500</v>
      </c>
      <c r="J22" s="4" t="s">
        <v>309</v>
      </c>
      <c r="K22" s="4" t="s">
        <v>310</v>
      </c>
      <c r="L22" s="4" t="s">
        <v>311</v>
      </c>
      <c r="M22" s="4" t="s">
        <v>312</v>
      </c>
      <c r="N22" s="4" t="s">
        <v>313</v>
      </c>
      <c r="O22" s="4" t="s">
        <v>314</v>
      </c>
      <c r="P22" s="4" t="s">
        <v>309</v>
      </c>
      <c r="Q22" s="6" t="s">
        <v>315</v>
      </c>
      <c r="R22" s="7"/>
      <c r="S22" s="7" t="s">
        <v>43</v>
      </c>
      <c r="T22" s="8"/>
      <c r="U22" s="7"/>
      <c r="V22" s="6" t="s">
        <v>316</v>
      </c>
      <c r="W22" s="6" t="s">
        <v>45</v>
      </c>
      <c r="X22" s="6" t="s">
        <v>317</v>
      </c>
      <c r="Y22" s="6" t="s">
        <v>318</v>
      </c>
      <c r="Z22" s="6" t="s">
        <v>319</v>
      </c>
      <c r="AA22" s="6" t="s">
        <v>320</v>
      </c>
    </row>
    <row r="23" customFormat="false" ht="15" hidden="false" customHeight="true" outlineLevel="0" collapsed="false">
      <c r="A23" s="9" t="s">
        <v>211</v>
      </c>
      <c r="B23" s="4" t="s">
        <v>321</v>
      </c>
      <c r="C23" s="4" t="s">
        <v>29</v>
      </c>
      <c r="D23" s="4" t="s">
        <v>51</v>
      </c>
      <c r="E23" s="4" t="s">
        <v>322</v>
      </c>
      <c r="F23" s="4" t="s">
        <v>32</v>
      </c>
      <c r="G23" s="4" t="s">
        <v>323</v>
      </c>
      <c r="H23" s="4" t="s">
        <v>324</v>
      </c>
      <c r="I23" s="5" t="n">
        <v>7311</v>
      </c>
      <c r="J23" s="4" t="s">
        <v>325</v>
      </c>
      <c r="K23" s="4" t="s">
        <v>246</v>
      </c>
      <c r="L23" s="4"/>
      <c r="M23" s="4"/>
      <c r="N23" s="4"/>
      <c r="O23" s="4"/>
      <c r="P23" s="4"/>
      <c r="Q23" s="6" t="s">
        <v>246</v>
      </c>
      <c r="R23" s="7"/>
      <c r="S23" s="7" t="s">
        <v>43</v>
      </c>
      <c r="T23" s="8"/>
      <c r="U23" s="7"/>
      <c r="V23" s="6" t="s">
        <v>326</v>
      </c>
      <c r="W23" s="6" t="s">
        <v>45</v>
      </c>
      <c r="X23" s="6" t="s">
        <v>327</v>
      </c>
      <c r="Y23" s="6" t="s">
        <v>328</v>
      </c>
      <c r="Z23" s="6" t="s">
        <v>329</v>
      </c>
      <c r="AA23" s="6" t="s">
        <v>330</v>
      </c>
    </row>
    <row r="24" customFormat="false" ht="23.25" hidden="false" customHeight="true" outlineLevel="0" collapsed="false">
      <c r="A24" s="9" t="s">
        <v>211</v>
      </c>
      <c r="B24" s="4" t="s">
        <v>331</v>
      </c>
      <c r="C24" s="4" t="s">
        <v>29</v>
      </c>
      <c r="D24" s="4" t="s">
        <v>51</v>
      </c>
      <c r="E24" s="4" t="s">
        <v>332</v>
      </c>
      <c r="F24" s="4" t="s">
        <v>333</v>
      </c>
      <c r="G24" s="4" t="s">
        <v>333</v>
      </c>
      <c r="H24" s="4" t="s">
        <v>334</v>
      </c>
      <c r="I24" s="5" t="n">
        <v>1500</v>
      </c>
      <c r="J24" s="4" t="s">
        <v>335</v>
      </c>
      <c r="K24" s="4" t="s">
        <v>246</v>
      </c>
      <c r="L24" s="4" t="s">
        <v>336</v>
      </c>
      <c r="M24" s="4" t="s">
        <v>246</v>
      </c>
      <c r="N24" s="4" t="s">
        <v>337</v>
      </c>
      <c r="O24" s="4" t="s">
        <v>246</v>
      </c>
      <c r="P24" s="4"/>
      <c r="Q24" s="6" t="s">
        <v>246</v>
      </c>
      <c r="R24" s="7"/>
      <c r="S24" s="7" t="s">
        <v>43</v>
      </c>
      <c r="T24" s="8"/>
      <c r="U24" s="7"/>
      <c r="V24" s="6" t="s">
        <v>338</v>
      </c>
      <c r="W24" s="6" t="s">
        <v>45</v>
      </c>
      <c r="X24" s="6" t="s">
        <v>339</v>
      </c>
      <c r="Y24" s="6" t="s">
        <v>340</v>
      </c>
      <c r="Z24" s="6" t="s">
        <v>341</v>
      </c>
      <c r="AA24" s="6" t="s">
        <v>342</v>
      </c>
    </row>
    <row r="25" customFormat="false" ht="23.25" hidden="false" customHeight="true" outlineLevel="0" collapsed="false">
      <c r="A25" s="9" t="s">
        <v>211</v>
      </c>
      <c r="B25" s="4" t="s">
        <v>343</v>
      </c>
      <c r="C25" s="4" t="s">
        <v>29</v>
      </c>
      <c r="D25" s="4" t="s">
        <v>255</v>
      </c>
      <c r="E25" s="4" t="s">
        <v>344</v>
      </c>
      <c r="F25" s="4" t="s">
        <v>32</v>
      </c>
      <c r="G25" s="4" t="s">
        <v>33</v>
      </c>
      <c r="H25" s="4" t="s">
        <v>141</v>
      </c>
      <c r="I25" s="5" t="n">
        <v>15254</v>
      </c>
      <c r="J25" s="4" t="s">
        <v>345</v>
      </c>
      <c r="K25" s="4" t="s">
        <v>246</v>
      </c>
      <c r="L25" s="4"/>
      <c r="M25" s="4"/>
      <c r="N25" s="4"/>
      <c r="O25" s="4"/>
      <c r="P25" s="4"/>
      <c r="Q25" s="6" t="s">
        <v>246</v>
      </c>
      <c r="R25" s="7"/>
      <c r="S25" s="7" t="s">
        <v>43</v>
      </c>
      <c r="T25" s="8"/>
      <c r="U25" s="7"/>
      <c r="V25" s="6" t="s">
        <v>346</v>
      </c>
      <c r="W25" s="6" t="s">
        <v>45</v>
      </c>
      <c r="X25" s="6" t="s">
        <v>347</v>
      </c>
      <c r="Y25" s="6" t="s">
        <v>348</v>
      </c>
      <c r="Z25" s="6" t="s">
        <v>349</v>
      </c>
      <c r="AA25" s="6" t="s">
        <v>350</v>
      </c>
    </row>
    <row r="26" customFormat="false" ht="15" hidden="false" customHeight="true" outlineLevel="0" collapsed="false">
      <c r="A26" s="9" t="s">
        <v>211</v>
      </c>
      <c r="B26" s="4" t="s">
        <v>351</v>
      </c>
      <c r="C26" s="4" t="s">
        <v>29</v>
      </c>
      <c r="D26" s="4" t="s">
        <v>255</v>
      </c>
      <c r="E26" s="4" t="s">
        <v>352</v>
      </c>
      <c r="F26" s="4" t="s">
        <v>32</v>
      </c>
      <c r="G26" s="4" t="s">
        <v>33</v>
      </c>
      <c r="H26" s="4" t="s">
        <v>353</v>
      </c>
      <c r="I26" s="5" t="n">
        <v>14416</v>
      </c>
      <c r="J26" s="4" t="s">
        <v>354</v>
      </c>
      <c r="K26" s="4" t="s">
        <v>246</v>
      </c>
      <c r="L26" s="4"/>
      <c r="M26" s="4"/>
      <c r="N26" s="4"/>
      <c r="O26" s="4"/>
      <c r="P26" s="4"/>
      <c r="Q26" s="6" t="s">
        <v>246</v>
      </c>
      <c r="R26" s="7"/>
      <c r="S26" s="7" t="s">
        <v>43</v>
      </c>
      <c r="T26" s="8"/>
      <c r="U26" s="7"/>
      <c r="V26" s="6" t="s">
        <v>355</v>
      </c>
      <c r="W26" s="6" t="s">
        <v>45</v>
      </c>
      <c r="X26" s="6" t="s">
        <v>356</v>
      </c>
      <c r="Y26" s="6" t="s">
        <v>357</v>
      </c>
      <c r="Z26" s="6" t="s">
        <v>358</v>
      </c>
      <c r="AA26" s="6" t="s">
        <v>359</v>
      </c>
    </row>
    <row r="27" customFormat="false" ht="15" hidden="false" customHeight="true" outlineLevel="0" collapsed="false">
      <c r="A27" s="10" t="s">
        <v>360</v>
      </c>
      <c r="B27" s="4" t="s">
        <v>361</v>
      </c>
      <c r="C27" s="4" t="s">
        <v>360</v>
      </c>
      <c r="D27" s="4" t="s">
        <v>362</v>
      </c>
      <c r="E27" s="4" t="s">
        <v>363</v>
      </c>
      <c r="F27" s="4" t="s">
        <v>364</v>
      </c>
      <c r="G27" s="4" t="s">
        <v>364</v>
      </c>
      <c r="H27" s="4" t="s">
        <v>365</v>
      </c>
      <c r="I27" s="5" t="n">
        <v>98000</v>
      </c>
      <c r="J27" s="4" t="s">
        <v>366</v>
      </c>
      <c r="K27" s="4" t="s">
        <v>367</v>
      </c>
      <c r="L27" s="4" t="s">
        <v>368</v>
      </c>
      <c r="M27" s="4" t="s">
        <v>86</v>
      </c>
      <c r="N27" s="4" t="s">
        <v>369</v>
      </c>
      <c r="O27" s="4" t="s">
        <v>86</v>
      </c>
      <c r="P27" s="4" t="s">
        <v>370</v>
      </c>
      <c r="Q27" s="6" t="s">
        <v>371</v>
      </c>
      <c r="R27" s="7"/>
      <c r="S27" s="7" t="s">
        <v>43</v>
      </c>
      <c r="T27" s="8"/>
      <c r="U27" s="7"/>
      <c r="V27" s="6" t="s">
        <v>372</v>
      </c>
      <c r="W27" s="6" t="s">
        <v>45</v>
      </c>
      <c r="X27" s="6" t="s">
        <v>373</v>
      </c>
      <c r="Y27" s="6" t="s">
        <v>374</v>
      </c>
      <c r="Z27" s="6" t="s">
        <v>375</v>
      </c>
      <c r="AA27" s="6" t="s">
        <v>376</v>
      </c>
    </row>
    <row r="28" customFormat="false" ht="23.25" hidden="false" customHeight="true" outlineLevel="0" collapsed="false">
      <c r="A28" s="10" t="s">
        <v>360</v>
      </c>
      <c r="B28" s="4" t="s">
        <v>377</v>
      </c>
      <c r="C28" s="4" t="s">
        <v>360</v>
      </c>
      <c r="D28" s="4" t="s">
        <v>362</v>
      </c>
      <c r="E28" s="4" t="s">
        <v>363</v>
      </c>
      <c r="F28" s="4" t="s">
        <v>364</v>
      </c>
      <c r="G28" s="4" t="s">
        <v>364</v>
      </c>
      <c r="H28" s="4" t="s">
        <v>365</v>
      </c>
      <c r="I28" s="5" t="n">
        <v>55000</v>
      </c>
      <c r="J28" s="4" t="s">
        <v>378</v>
      </c>
      <c r="K28" s="4" t="s">
        <v>379</v>
      </c>
      <c r="L28" s="4" t="s">
        <v>380</v>
      </c>
      <c r="M28" s="4" t="s">
        <v>381</v>
      </c>
      <c r="N28" s="4" t="s">
        <v>382</v>
      </c>
      <c r="O28" s="4" t="s">
        <v>383</v>
      </c>
      <c r="P28" s="4" t="s">
        <v>384</v>
      </c>
      <c r="Q28" s="6" t="s">
        <v>385</v>
      </c>
      <c r="R28" s="7"/>
      <c r="S28" s="7" t="s">
        <v>43</v>
      </c>
      <c r="T28" s="8"/>
      <c r="U28" s="7"/>
      <c r="V28" s="6" t="s">
        <v>386</v>
      </c>
      <c r="W28" s="6" t="s">
        <v>45</v>
      </c>
      <c r="X28" s="6" t="s">
        <v>387</v>
      </c>
      <c r="Y28" s="6" t="s">
        <v>388</v>
      </c>
      <c r="Z28" s="6" t="s">
        <v>389</v>
      </c>
      <c r="AA28" s="6" t="s">
        <v>390</v>
      </c>
    </row>
    <row r="29" customFormat="false" ht="23.25" hidden="false" customHeight="true" outlineLevel="0" collapsed="false">
      <c r="A29" s="10" t="s">
        <v>360</v>
      </c>
      <c r="B29" s="4" t="s">
        <v>391</v>
      </c>
      <c r="C29" s="4" t="s">
        <v>360</v>
      </c>
      <c r="D29" s="4" t="s">
        <v>362</v>
      </c>
      <c r="E29" s="4" t="s">
        <v>392</v>
      </c>
      <c r="F29" s="4" t="s">
        <v>364</v>
      </c>
      <c r="G29" s="4" t="s">
        <v>364</v>
      </c>
      <c r="H29" s="4" t="s">
        <v>393</v>
      </c>
      <c r="I29" s="5" t="n">
        <v>40000</v>
      </c>
      <c r="J29" s="4" t="s">
        <v>394</v>
      </c>
      <c r="K29" s="4" t="s">
        <v>395</v>
      </c>
      <c r="L29" s="4"/>
      <c r="M29" s="4"/>
      <c r="N29" s="4"/>
      <c r="O29" s="4"/>
      <c r="P29" s="4" t="s">
        <v>394</v>
      </c>
      <c r="Q29" s="6" t="s">
        <v>275</v>
      </c>
      <c r="R29" s="7"/>
      <c r="S29" s="7" t="s">
        <v>43</v>
      </c>
      <c r="T29" s="8"/>
      <c r="U29" s="7"/>
      <c r="V29" s="6" t="s">
        <v>396</v>
      </c>
      <c r="W29" s="6" t="s">
        <v>45</v>
      </c>
      <c r="X29" s="6" t="s">
        <v>397</v>
      </c>
      <c r="Y29" s="6" t="s">
        <v>398</v>
      </c>
      <c r="Z29" s="6" t="s">
        <v>399</v>
      </c>
      <c r="AA29" s="6" t="s">
        <v>400</v>
      </c>
    </row>
    <row r="30" customFormat="false" ht="23.25" hidden="false" customHeight="true" outlineLevel="0" collapsed="false"/>
  </sheetData>
  <autoFilter ref="A1:AA29"/>
  <dataValidations count="2">
    <dataValidation allowBlank="true" errorStyle="stop" operator="between" showDropDown="false" showErrorMessage="false" showInputMessage="false" sqref="S2:S30" type="list">
      <formula1>"Not started,Questionnaire submitted,Emailed,Replied,Call scheduled,Visit scheduled,Not pursuing"</formula1>
      <formula2>0</formula2>
    </dataValidation>
    <dataValidation allowBlank="true" errorStyle="stop" operator="between" showDropDown="false" showErrorMessage="false" showInputMessage="false" sqref="R2:R3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58"/>
  </cols>
  <sheetData>
    <row r="1" customFormat="false" ht="15" hidden="false" customHeight="true" outlineLevel="0" collapsed="false">
      <c r="A1" s="11" t="s">
        <v>1</v>
      </c>
      <c r="B1" s="11" t="s">
        <v>401</v>
      </c>
      <c r="C1" s="11" t="s">
        <v>402</v>
      </c>
    </row>
    <row r="2" customFormat="false" ht="15" hidden="false" customHeight="true" outlineLevel="0" collapsed="false">
      <c r="A2" s="12" t="s">
        <v>403</v>
      </c>
      <c r="B2" s="12" t="s">
        <v>95</v>
      </c>
      <c r="C2" s="12" t="s">
        <v>404</v>
      </c>
    </row>
    <row r="3" customFormat="false" ht="15" hidden="false" customHeight="true" outlineLevel="0" collapsed="false">
      <c r="A3" s="12" t="s">
        <v>405</v>
      </c>
      <c r="B3" s="12" t="s">
        <v>51</v>
      </c>
      <c r="C3" s="12" t="s">
        <v>406</v>
      </c>
    </row>
    <row r="4" customFormat="false" ht="15" hidden="false" customHeight="true" outlineLevel="0" collapsed="false">
      <c r="A4" s="12" t="s">
        <v>407</v>
      </c>
      <c r="B4" s="12" t="s">
        <v>228</v>
      </c>
      <c r="C4" s="12" t="s">
        <v>408</v>
      </c>
    </row>
    <row r="5" customFormat="false" ht="15" hidden="false" customHeight="true" outlineLevel="0" collapsed="false">
      <c r="A5" s="12" t="s">
        <v>409</v>
      </c>
      <c r="B5" s="12" t="s">
        <v>30</v>
      </c>
      <c r="C5" s="12" t="s">
        <v>410</v>
      </c>
    </row>
    <row r="6" customFormat="false" ht="15" hidden="false" customHeight="true" outlineLevel="0" collapsed="false">
      <c r="A6" s="12" t="s">
        <v>411</v>
      </c>
      <c r="B6" s="12" t="s">
        <v>196</v>
      </c>
      <c r="C6" s="12" t="s">
        <v>412</v>
      </c>
    </row>
    <row r="7" customFormat="false" ht="15" hidden="false" customHeight="true" outlineLevel="0" collapsed="false">
      <c r="A7" s="12" t="s">
        <v>413</v>
      </c>
      <c r="B7" s="12" t="s">
        <v>51</v>
      </c>
      <c r="C7" s="12" t="s">
        <v>414</v>
      </c>
    </row>
    <row r="8" customFormat="false" ht="15" hidden="false" customHeight="true" outlineLevel="0" collapsed="false">
      <c r="A8" s="12" t="s">
        <v>415</v>
      </c>
      <c r="B8" s="12" t="s">
        <v>416</v>
      </c>
      <c r="C8" s="12" t="s">
        <v>410</v>
      </c>
    </row>
    <row r="9" customFormat="false" ht="15" hidden="false" customHeight="false" outlineLevel="0" collapsed="false">
      <c r="A9" s="13" t="s">
        <v>417</v>
      </c>
      <c r="B9" s="13" t="s">
        <v>255</v>
      </c>
      <c r="C9" s="13" t="s">
        <v>418</v>
      </c>
    </row>
    <row r="10" customFormat="false" ht="15" hidden="false" customHeight="true" outlineLevel="0" collapsed="false">
      <c r="A10" s="14" t="s">
        <v>419</v>
      </c>
    </row>
    <row r="11" customFormat="false" ht="15" hidden="false" customHeight="true" outlineLevel="0" collapsed="false">
      <c r="A11" s="12" t="s">
        <v>417</v>
      </c>
      <c r="B11" s="12" t="s">
        <v>255</v>
      </c>
      <c r="C11" s="12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24"/>
    <col collapsed="false" customWidth="true" hidden="false" outlineLevel="0" max="5" min="4" style="1" width="16"/>
  </cols>
  <sheetData>
    <row r="1" customFormat="false" ht="17.25" hidden="false" customHeight="true" outlineLevel="0" collapsed="false">
      <c r="A1" s="15" t="s">
        <v>420</v>
      </c>
    </row>
    <row r="2" customFormat="false" ht="15" hidden="false" customHeight="true" outlineLevel="0" collapsed="false">
      <c r="A2" s="14" t="s">
        <v>421</v>
      </c>
    </row>
    <row r="4" customFormat="false" ht="15" hidden="false" customHeight="true" outlineLevel="0" collapsed="false">
      <c r="A4" s="16" t="s">
        <v>422</v>
      </c>
    </row>
    <row r="5" customFormat="false" ht="15" hidden="false" customHeight="true" outlineLevel="0" collapsed="false">
      <c r="A5" s="17" t="s">
        <v>423</v>
      </c>
    </row>
    <row r="6" customFormat="false" ht="15" hidden="false" customHeight="true" outlineLevel="0" collapsed="false">
      <c r="A6" s="17" t="s">
        <v>424</v>
      </c>
    </row>
    <row r="7" customFormat="false" ht="15" hidden="false" customHeight="true" outlineLevel="0" collapsed="false">
      <c r="A7" s="17" t="s">
        <v>425</v>
      </c>
    </row>
    <row r="8" customFormat="false" ht="15" hidden="false" customHeight="true" outlineLevel="0" collapsed="false">
      <c r="A8" s="17" t="s">
        <v>426</v>
      </c>
    </row>
    <row r="9" customFormat="false" ht="15" hidden="false" customHeight="true" outlineLevel="0" collapsed="false">
      <c r="A9" s="17" t="s">
        <v>427</v>
      </c>
    </row>
    <row r="10" customFormat="false" ht="15" hidden="false" customHeight="true" outlineLevel="0" collapsed="false">
      <c r="A10" s="17" t="s">
        <v>428</v>
      </c>
    </row>
    <row r="13" customFormat="false" ht="15" hidden="false" customHeight="true" outlineLevel="0" collapsed="false">
      <c r="A13" s="16" t="s">
        <v>429</v>
      </c>
    </row>
    <row r="14" customFormat="false" ht="15" hidden="false" customHeight="true" outlineLevel="0" collapsed="false">
      <c r="A14" s="18" t="s">
        <v>1</v>
      </c>
      <c r="B14" s="18" t="s">
        <v>17</v>
      </c>
      <c r="C14" s="18" t="s">
        <v>18</v>
      </c>
      <c r="D14" s="18" t="s">
        <v>19</v>
      </c>
      <c r="E14" s="18" t="s">
        <v>20</v>
      </c>
    </row>
    <row r="15" customFormat="false" ht="15" hidden="false" customHeight="true" outlineLevel="0" collapsed="false">
      <c r="A15" s="19" t="s">
        <v>28</v>
      </c>
      <c r="B15" s="19" t="s">
        <v>430</v>
      </c>
      <c r="C15" s="19" t="s">
        <v>431</v>
      </c>
      <c r="D15" s="19" t="s">
        <v>432</v>
      </c>
      <c r="E15" s="19" t="s">
        <v>433</v>
      </c>
    </row>
    <row r="18" customFormat="false" ht="15" hidden="false" customHeight="true" outlineLevel="0" collapsed="false">
      <c r="A18" s="16" t="s">
        <v>434</v>
      </c>
    </row>
    <row r="19" customFormat="false" ht="15" hidden="false" customHeight="true" outlineLevel="0" collapsed="false">
      <c r="A19" s="17" t="s">
        <v>435</v>
      </c>
      <c r="B19" s="20" t="n">
        <f aca="false">COUNTA(Schools!B2:B29)</f>
        <v>28</v>
      </c>
    </row>
    <row r="20" customFormat="false" ht="15" hidden="false" customHeight="true" outlineLevel="0" collapsed="false">
      <c r="A20" s="17" t="s">
        <v>436</v>
      </c>
      <c r="B20" s="20" t="n">
        <f aca="false">COUNTIF(Schools!A2:A30,"Core 12")</f>
        <v>12</v>
      </c>
    </row>
    <row r="21" customFormat="false" ht="15" hidden="false" customHeight="true" outlineLevel="0" collapsed="false">
      <c r="A21" s="17" t="s">
        <v>437</v>
      </c>
      <c r="B21" s="20" t="n">
        <f aca="false">COUNTIF(Schools!A2:A30,"Extra")</f>
        <v>13</v>
      </c>
    </row>
    <row r="22" customFormat="false" ht="15" hidden="false" customHeight="true" outlineLevel="0" collapsed="false">
      <c r="A22" s="17" t="s">
        <v>438</v>
      </c>
      <c r="B22" s="20" t="n">
        <f aca="false">COUNTIF(Schools!A2:A30,"Canada")</f>
        <v>3</v>
      </c>
    </row>
    <row r="23" customFormat="false" ht="15" hidden="false" customHeight="true" outlineLevel="0" collapsed="false">
      <c r="A23" s="17" t="s">
        <v>439</v>
      </c>
      <c r="B23" s="20" t="n">
        <f aca="false">COUNTA(Schools!K2:K30)-COUNTIF(Schools!K2:K30,"not published")-COUNTIF(Schools!K2:K30,"not researched")</f>
        <v>17</v>
      </c>
    </row>
    <row r="24" customFormat="false" ht="15" hidden="false" customHeight="true" outlineLevel="0" collapsed="false">
      <c r="A24" s="17" t="s">
        <v>440</v>
      </c>
      <c r="B24" s="20" t="n">
        <f aca="false">COUNTIF(Schools!K2:K30,"not researched")</f>
        <v>8</v>
      </c>
    </row>
    <row r="25" customFormat="false" ht="15" hidden="false" customHeight="true" outlineLevel="0" collapsed="false">
      <c r="A25" s="17" t="s">
        <v>441</v>
      </c>
      <c r="B25" s="20" t="n">
        <f aca="false">COUNTIF(Schools!Q2:Q30,"http*")</f>
        <v>15</v>
      </c>
    </row>
    <row r="26" customFormat="false" ht="15" hidden="false" customHeight="true" outlineLevel="0" collapsed="false">
      <c r="A26" s="17" t="s">
        <v>442</v>
      </c>
      <c r="B26" s="20" t="n">
        <f aca="false">COUNTA(Schools!T2:T30)</f>
        <v>0</v>
      </c>
    </row>
    <row r="27" customFormat="false" ht="15" hidden="false" customHeight="true" outlineLevel="0" collapsed="false">
      <c r="A27" s="17" t="s">
        <v>443</v>
      </c>
      <c r="B27" s="20" t="n">
        <f aca="false">COUNTIF(Schools!R2:R30,"A")</f>
        <v>0</v>
      </c>
    </row>
    <row r="28" customFormat="false" ht="15" hidden="false" customHeight="true" outlineLevel="0" collapsed="false">
      <c r="A28" s="17" t="s">
        <v>444</v>
      </c>
      <c r="B28" s="20" t="n">
        <f aca="false">COUNTA('Ruled Out'!A2:A9)</f>
        <v>8</v>
      </c>
    </row>
    <row r="30" customFormat="false" ht="15" hidden="false" customHeight="true" outlineLevel="0" collapsed="false">
      <c r="A30" s="17" t="s">
        <v>445</v>
      </c>
      <c r="B30" s="20" t="n">
        <f aca="false">COUNTIF(Schools!W2:W29,"Yes")</f>
        <v>27</v>
      </c>
    </row>
    <row r="31" customFormat="false" ht="15" hidden="false" customHeight="true" outlineLevel="0" collapsed="false">
      <c r="A31" s="17" t="s">
        <v>446</v>
      </c>
      <c r="B31" s="20" t="n">
        <f aca="false">COUNTIF(Schools!W2:W29,"Not yet")</f>
        <v>0</v>
      </c>
    </row>
    <row r="32" customFormat="false" ht="15" hidden="false" customHeight="false" outlineLevel="0" collapsed="false">
      <c r="A32" s="21" t="s">
        <v>447</v>
      </c>
      <c r="B32" s="21" t="n">
        <f aca="false">COUNTIF(Schools!W2:W29,"Partial")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2026-09-16T22:31:23Z</dcterms:created>
  <dc:creator>openpyxl</dc:creator>
  <dc:description/>
  <dc:language>en-US</dc:language>
  <cp:lastModifiedBy/>
  <dcterms:modified xsi:type="dcterms:W3CDTF">2026-09-18T02:52:23Z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